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uon\FIT3143\lab_2\"/>
    </mc:Choice>
  </mc:AlternateContent>
  <xr:revisionPtr revIDLastSave="0" documentId="13_ncr:1_{F1CCAA83-3E71-4E84-A67E-27E35CC8429E}" xr6:coauthVersionLast="47" xr6:coauthVersionMax="47" xr10:uidLastSave="{00000000-0000-0000-0000-000000000000}"/>
  <bookViews>
    <workbookView xWindow="-120" yWindow="-120" windowWidth="38640" windowHeight="21120" activeTab="2" xr2:uid="{C490FF79-F70F-4A57-9B82-FF3004BE1F9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2" l="1"/>
  <c r="N4" i="2"/>
  <c r="Q15" i="2"/>
  <c r="P15" i="2"/>
  <c r="O15" i="2"/>
  <c r="N15" i="2"/>
  <c r="Q14" i="2"/>
  <c r="P14" i="2"/>
  <c r="O14" i="2"/>
  <c r="N14" i="2"/>
  <c r="Q13" i="2"/>
  <c r="P13" i="2"/>
  <c r="O13" i="2"/>
  <c r="N13" i="2"/>
  <c r="Q12" i="2"/>
  <c r="P12" i="2"/>
  <c r="O12" i="2"/>
  <c r="Q7" i="2"/>
  <c r="Q6" i="2"/>
  <c r="Q5" i="2"/>
  <c r="Q4" i="2"/>
  <c r="P7" i="2"/>
  <c r="P6" i="2"/>
  <c r="P5" i="2"/>
  <c r="P4" i="2"/>
  <c r="O7" i="2"/>
  <c r="O6" i="2"/>
  <c r="O5" i="2"/>
  <c r="O4" i="2"/>
  <c r="N7" i="2"/>
  <c r="N6" i="2"/>
  <c r="N5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7" i="2"/>
  <c r="K6" i="2"/>
  <c r="K5" i="2"/>
  <c r="K4" i="2"/>
  <c r="J7" i="2"/>
  <c r="J6" i="2"/>
  <c r="J5" i="2"/>
  <c r="J4" i="2"/>
  <c r="I7" i="2"/>
  <c r="I6" i="2"/>
  <c r="I5" i="2"/>
  <c r="I4" i="2"/>
  <c r="H7" i="2"/>
  <c r="H6" i="2"/>
  <c r="H5" i="2"/>
  <c r="H4" i="2"/>
  <c r="L11" i="1"/>
  <c r="N12" i="1"/>
  <c r="N13" i="1"/>
  <c r="N14" i="1"/>
  <c r="N11" i="1"/>
  <c r="M12" i="1"/>
  <c r="M13" i="1"/>
  <c r="M14" i="1"/>
  <c r="M11" i="1"/>
  <c r="L12" i="1"/>
  <c r="L13" i="1"/>
  <c r="L14" i="1"/>
  <c r="K13" i="1"/>
  <c r="K14" i="1"/>
  <c r="K12" i="1"/>
  <c r="K11" i="1"/>
  <c r="J11" i="1"/>
  <c r="N6" i="1"/>
  <c r="M6" i="1"/>
  <c r="L6" i="1"/>
  <c r="K6" i="1"/>
  <c r="J6" i="1"/>
  <c r="N5" i="1"/>
  <c r="M5" i="1"/>
  <c r="L5" i="1"/>
  <c r="K5" i="1"/>
  <c r="J5" i="1"/>
  <c r="N4" i="1"/>
  <c r="M4" i="1"/>
  <c r="L4" i="1"/>
  <c r="K4" i="1"/>
  <c r="J4" i="1"/>
  <c r="N3" i="1"/>
  <c r="M3" i="1"/>
  <c r="L3" i="1"/>
  <c r="K3" i="1"/>
  <c r="J3" i="1"/>
</calcChain>
</file>

<file path=xl/sharedStrings.xml><?xml version="1.0" encoding="utf-8"?>
<sst xmlns="http://schemas.openxmlformats.org/spreadsheetml/2006/main" count="28" uniqueCount="22">
  <si>
    <t>serial</t>
  </si>
  <si>
    <t>* Tested on 5700U - At 4 threads, the workload is localized to a single CCX, maximizing cache efficiency. Beyond 4 threads, the cross-CCX communication latency—coupled with the severe thermal throttling inherent to a 15-25W laptop processor—introduces enough overhead to negatively impact the total execution time.</t>
  </si>
  <si>
    <t>Task 2 - OpenMP + MPI</t>
  </si>
  <si>
    <t>Task 1 - MPI</t>
  </si>
  <si>
    <t>Task 2 - OpenMP + MPI (Speedup)</t>
  </si>
  <si>
    <t>Task 1 - MPI (Speedup)</t>
  </si>
  <si>
    <t>Parallel Fraction</t>
  </si>
  <si>
    <t>Serial Fraction</t>
  </si>
  <si>
    <t>Serial Time</t>
  </si>
  <si>
    <t>Parallel Time</t>
  </si>
  <si>
    <t>Total Time</t>
  </si>
  <si>
    <t>Task 1 Serial/Parallel</t>
  </si>
  <si>
    <t>Task 2 Serial/Parallel</t>
  </si>
  <si>
    <t>Amdahl's Law Speedup - Task 1</t>
  </si>
  <si>
    <t>Amdahl's Law Speedup - Task 2</t>
  </si>
  <si>
    <t>Gustafson's Law Speedup - Task 1</t>
  </si>
  <si>
    <t>Gustafson's Law Speedup - Task 2</t>
  </si>
  <si>
    <t>n</t>
  </si>
  <si>
    <t>OpenMP</t>
  </si>
  <si>
    <t>POSIX</t>
  </si>
  <si>
    <t>Hybrid</t>
  </si>
  <si>
    <t>OpenMPI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</si>
</sst>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9</xdr:col>
      <xdr:colOff>384442</xdr:colOff>
      <xdr:row>42</xdr:row>
      <xdr:rowOff>81643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28C5F-2264-85A8-E844-2538B48AF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8500"/>
          <a:ext cx="7160799" cy="4844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DD20-D4B6-49EF-845C-C54DDF36551F}">
  <dimension ref="A1:N14"/>
  <sheetViews>
    <sheetView zoomScale="160" zoomScaleNormal="160" workbookViewId="0">
      <selection activeCell="I9" sqref="I9:N14"/>
    </sheetView>
  </sheetViews>
  <sheetFormatPr defaultRowHeight="15" x14ac:dyDescent="0.25"/>
  <cols>
    <col min="1" max="1" width="11.5703125" customWidth="1"/>
    <col min="9" max="9" width="10.5703125" customWidth="1"/>
  </cols>
  <sheetData>
    <row r="1" spans="1:14" x14ac:dyDescent="0.25">
      <c r="A1" s="1" t="s">
        <v>2</v>
      </c>
      <c r="B1" s="1"/>
      <c r="C1" s="1"/>
      <c r="D1" s="1"/>
      <c r="E1" s="1"/>
      <c r="F1" s="1"/>
      <c r="G1" s="1"/>
      <c r="I1" s="1" t="s">
        <v>4</v>
      </c>
      <c r="J1" s="1"/>
      <c r="K1" s="1"/>
      <c r="L1" s="1"/>
      <c r="M1" s="1"/>
      <c r="N1" s="1"/>
    </row>
    <row r="2" spans="1:14" x14ac:dyDescent="0.25">
      <c r="B2">
        <v>1</v>
      </c>
      <c r="C2">
        <v>2</v>
      </c>
      <c r="D2">
        <v>4</v>
      </c>
      <c r="E2">
        <v>6</v>
      </c>
      <c r="F2">
        <v>8</v>
      </c>
      <c r="G2" t="s">
        <v>0</v>
      </c>
      <c r="J2">
        <v>1</v>
      </c>
      <c r="K2">
        <v>2</v>
      </c>
      <c r="L2">
        <v>4</v>
      </c>
      <c r="M2">
        <v>6</v>
      </c>
      <c r="N2">
        <v>8</v>
      </c>
    </row>
    <row r="3" spans="1:14" x14ac:dyDescent="0.25">
      <c r="A3">
        <v>10000000</v>
      </c>
      <c r="B3">
        <v>1.458798</v>
      </c>
      <c r="C3">
        <v>0.87788299999999997</v>
      </c>
      <c r="D3">
        <v>0.579461</v>
      </c>
      <c r="E3">
        <v>0.41353200000000001</v>
      </c>
      <c r="F3">
        <v>0.31783899999999998</v>
      </c>
      <c r="G3">
        <v>8.9615999999999989</v>
      </c>
      <c r="I3">
        <v>10000000</v>
      </c>
      <c r="J3">
        <f>B3/B3</f>
        <v>1</v>
      </c>
      <c r="K3">
        <f>B3/C3</f>
        <v>1.6617225757874341</v>
      </c>
      <c r="L3">
        <f>B3/D3</f>
        <v>2.5175085122208398</v>
      </c>
      <c r="M3">
        <f>B3/E3</f>
        <v>3.5276544499579234</v>
      </c>
      <c r="N3">
        <f>B3/F3</f>
        <v>4.5897388300365911</v>
      </c>
    </row>
    <row r="4" spans="1:14" x14ac:dyDescent="0.25">
      <c r="A4">
        <v>20000000</v>
      </c>
      <c r="B4">
        <v>3.6081789999999998</v>
      </c>
      <c r="C4">
        <v>2.178375</v>
      </c>
      <c r="D4">
        <v>1.362209</v>
      </c>
      <c r="E4">
        <v>0.99963999999999997</v>
      </c>
      <c r="F4">
        <v>0.81363700000000005</v>
      </c>
      <c r="G4">
        <v>25.155999999999999</v>
      </c>
      <c r="I4">
        <v>20000000</v>
      </c>
      <c r="J4">
        <f>B4/B4</f>
        <v>1</v>
      </c>
      <c r="K4">
        <f>B4/C4</f>
        <v>1.6563626556492799</v>
      </c>
      <c r="L4">
        <f>B4/D4</f>
        <v>2.6487704896972488</v>
      </c>
      <c r="M4">
        <f>B4/E4</f>
        <v>3.6094784122284023</v>
      </c>
      <c r="N4">
        <f>B4/F4</f>
        <v>4.4346299393955775</v>
      </c>
    </row>
    <row r="5" spans="1:14" x14ac:dyDescent="0.25">
      <c r="A5">
        <v>50000000</v>
      </c>
      <c r="B5">
        <v>12.467572000000001</v>
      </c>
      <c r="C5">
        <v>7.5754239999999999</v>
      </c>
      <c r="D5">
        <v>5.1310169999999999</v>
      </c>
      <c r="E5">
        <v>3.8447100000000001</v>
      </c>
      <c r="F5">
        <v>2.9193920000000002</v>
      </c>
      <c r="G5">
        <v>88.580000000000013</v>
      </c>
      <c r="I5">
        <v>50000000</v>
      </c>
      <c r="J5">
        <f>B5/B5</f>
        <v>1</v>
      </c>
      <c r="K5">
        <f>B5/C5</f>
        <v>1.6457919715120897</v>
      </c>
      <c r="L5">
        <f>B5/D5</f>
        <v>2.4298442199665291</v>
      </c>
      <c r="M5">
        <f>B5/E5</f>
        <v>3.2427860618876325</v>
      </c>
      <c r="N5">
        <f>B5/F5</f>
        <v>4.2706056603566767</v>
      </c>
    </row>
    <row r="6" spans="1:14" x14ac:dyDescent="0.25">
      <c r="A6">
        <v>100000000</v>
      </c>
      <c r="B6">
        <v>32.205312999999997</v>
      </c>
      <c r="C6">
        <v>20.087147000000002</v>
      </c>
      <c r="D6">
        <v>14.070570999999999</v>
      </c>
      <c r="E6">
        <v>9.5553840000000001</v>
      </c>
      <c r="F6">
        <v>7.5495330000000003</v>
      </c>
      <c r="G6">
        <v>231.78280000000001</v>
      </c>
      <c r="I6">
        <v>100000000</v>
      </c>
      <c r="J6">
        <f>B6/B6</f>
        <v>1</v>
      </c>
      <c r="K6">
        <f>B6/C6</f>
        <v>1.6032795996365234</v>
      </c>
      <c r="L6">
        <f>B6/D6</f>
        <v>2.2888419382553842</v>
      </c>
      <c r="M6">
        <f>B6/E6</f>
        <v>3.3703839636376722</v>
      </c>
      <c r="N6">
        <f>B6/F6</f>
        <v>4.2658682331741575</v>
      </c>
    </row>
    <row r="7" spans="1:14" x14ac:dyDescent="0.25">
      <c r="A7" t="s">
        <v>1</v>
      </c>
    </row>
    <row r="9" spans="1:14" x14ac:dyDescent="0.25">
      <c r="A9" s="1" t="s">
        <v>3</v>
      </c>
      <c r="B9" s="1"/>
      <c r="C9" s="1"/>
      <c r="D9" s="1"/>
      <c r="E9" s="1"/>
      <c r="F9" s="1"/>
      <c r="G9" s="1"/>
      <c r="I9" s="1" t="s">
        <v>5</v>
      </c>
      <c r="J9" s="1"/>
      <c r="K9" s="1"/>
      <c r="L9" s="1"/>
      <c r="M9" s="1"/>
      <c r="N9" s="1"/>
    </row>
    <row r="10" spans="1:14" x14ac:dyDescent="0.25">
      <c r="B10">
        <v>1</v>
      </c>
      <c r="C10">
        <v>2</v>
      </c>
      <c r="D10">
        <v>4</v>
      </c>
      <c r="E10">
        <v>6</v>
      </c>
      <c r="F10">
        <v>8</v>
      </c>
      <c r="G10" t="s">
        <v>0</v>
      </c>
      <c r="J10">
        <v>1</v>
      </c>
      <c r="K10">
        <v>2</v>
      </c>
      <c r="L10">
        <v>4</v>
      </c>
      <c r="M10">
        <v>6</v>
      </c>
      <c r="N10">
        <v>8</v>
      </c>
    </row>
    <row r="11" spans="1:14" x14ac:dyDescent="0.25">
      <c r="A11">
        <v>10000000</v>
      </c>
      <c r="B11">
        <v>3.4996</v>
      </c>
      <c r="C11">
        <v>1.937565</v>
      </c>
      <c r="D11">
        <v>1.2252529999999999</v>
      </c>
      <c r="E11">
        <v>1.0145489999999999</v>
      </c>
      <c r="F11">
        <v>0.75211899999999998</v>
      </c>
      <c r="G11">
        <v>8.9615999999999989</v>
      </c>
      <c r="I11">
        <v>10000000</v>
      </c>
      <c r="J11">
        <f>B11/B11</f>
        <v>1</v>
      </c>
      <c r="K11">
        <f>B11/C11</f>
        <v>1.8061845667113103</v>
      </c>
      <c r="L11">
        <f>B11/D11</f>
        <v>2.8562264283376577</v>
      </c>
      <c r="M11">
        <f>B11/E11</f>
        <v>3.4494144688920891</v>
      </c>
      <c r="N11">
        <f>B11/F11</f>
        <v>4.6529870937976572</v>
      </c>
    </row>
    <row r="12" spans="1:14" x14ac:dyDescent="0.25">
      <c r="A12">
        <v>20000000</v>
      </c>
      <c r="B12">
        <v>8.6206949999999996</v>
      </c>
      <c r="C12">
        <v>5.0641220000000002</v>
      </c>
      <c r="D12">
        <v>3.2857820000000002</v>
      </c>
      <c r="E12">
        <v>2.2772709999999998</v>
      </c>
      <c r="F12">
        <v>2.0348790000000001</v>
      </c>
      <c r="G12">
        <v>25.155999999999999</v>
      </c>
      <c r="I12">
        <v>20000000</v>
      </c>
      <c r="J12">
        <v>1</v>
      </c>
      <c r="K12">
        <f>B12/C12</f>
        <v>1.702307922281493</v>
      </c>
      <c r="L12">
        <f t="shared" ref="L12:L14" si="0">B12/D12</f>
        <v>2.6236357128987859</v>
      </c>
      <c r="M12">
        <f t="shared" ref="M12:M14" si="1">B12/E12</f>
        <v>3.7855376018049673</v>
      </c>
      <c r="N12">
        <f t="shared" ref="N12:N14" si="2">B12/F12</f>
        <v>4.2364656571717525</v>
      </c>
    </row>
    <row r="13" spans="1:14" x14ac:dyDescent="0.25">
      <c r="A13">
        <v>50000000</v>
      </c>
      <c r="B13">
        <v>32.648007</v>
      </c>
      <c r="C13">
        <v>18.372589999999999</v>
      </c>
      <c r="D13">
        <v>12.718140999999999</v>
      </c>
      <c r="E13">
        <v>8.0985910000000008</v>
      </c>
      <c r="F13">
        <v>7.0768930000000001</v>
      </c>
      <c r="G13">
        <v>88.580000000000013</v>
      </c>
      <c r="I13">
        <v>50000000</v>
      </c>
      <c r="J13">
        <v>1</v>
      </c>
      <c r="K13">
        <f>B13/C13</f>
        <v>1.7769953501384401</v>
      </c>
      <c r="L13">
        <f t="shared" si="0"/>
        <v>2.5670423845749157</v>
      </c>
      <c r="M13">
        <f t="shared" si="1"/>
        <v>4.0313193986460112</v>
      </c>
      <c r="N13">
        <f t="shared" si="2"/>
        <v>4.6133249435875321</v>
      </c>
    </row>
    <row r="14" spans="1:14" x14ac:dyDescent="0.25">
      <c r="A14">
        <v>100000000</v>
      </c>
      <c r="B14">
        <v>92.839699999999993</v>
      </c>
      <c r="C14">
        <v>57.491717000000001</v>
      </c>
      <c r="D14">
        <v>32.219523000000002</v>
      </c>
      <c r="E14">
        <v>25.323053999999999</v>
      </c>
      <c r="F14">
        <v>20.377759000000001</v>
      </c>
      <c r="G14">
        <v>231.78280000000001</v>
      </c>
      <c r="I14">
        <v>100000000</v>
      </c>
      <c r="J14">
        <v>1</v>
      </c>
      <c r="K14">
        <f>B14/C14</f>
        <v>1.6148360989114308</v>
      </c>
      <c r="L14">
        <f t="shared" si="0"/>
        <v>2.8814734470153387</v>
      </c>
      <c r="M14">
        <f t="shared" si="1"/>
        <v>3.6662126140077733</v>
      </c>
      <c r="N14">
        <f t="shared" si="2"/>
        <v>4.5559327696436096</v>
      </c>
    </row>
  </sheetData>
  <mergeCells count="4">
    <mergeCell ref="A1:G1"/>
    <mergeCell ref="A9:G9"/>
    <mergeCell ref="I1:N1"/>
    <mergeCell ref="I9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3FC0-8CFB-4133-847F-6E38B47443F8}">
  <dimension ref="A1:Q15"/>
  <sheetViews>
    <sheetView zoomScale="115" zoomScaleNormal="115" workbookViewId="0">
      <selection activeCell="F15" sqref="F15"/>
    </sheetView>
  </sheetViews>
  <sheetFormatPr defaultRowHeight="15" x14ac:dyDescent="0.25"/>
  <cols>
    <col min="1" max="1" width="15.140625" customWidth="1"/>
    <col min="2" max="2" width="9.7109375" bestFit="1" customWidth="1"/>
    <col min="3" max="4" width="9.85546875" bestFit="1" customWidth="1"/>
    <col min="5" max="5" width="11" bestFit="1" customWidth="1"/>
    <col min="7" max="7" width="10.7109375" customWidth="1"/>
    <col min="8" max="11" width="13" bestFit="1" customWidth="1"/>
    <col min="13" max="13" width="9.28515625" bestFit="1" customWidth="1"/>
    <col min="14" max="16" width="9.7109375" bestFit="1" customWidth="1"/>
    <col min="17" max="17" width="10.85546875" bestFit="1" customWidth="1"/>
  </cols>
  <sheetData>
    <row r="1" spans="1:17" x14ac:dyDescent="0.25">
      <c r="A1" s="1" t="s">
        <v>11</v>
      </c>
      <c r="B1" s="1"/>
      <c r="C1" s="1"/>
      <c r="D1" s="1"/>
      <c r="E1" s="1"/>
      <c r="G1" s="1" t="s">
        <v>13</v>
      </c>
      <c r="H1" s="1"/>
      <c r="I1" s="1"/>
      <c r="J1" s="1"/>
      <c r="K1" s="1"/>
      <c r="M1" s="1" t="s">
        <v>15</v>
      </c>
      <c r="N1" s="1"/>
      <c r="O1" s="1"/>
      <c r="P1" s="1"/>
      <c r="Q1" s="1"/>
    </row>
    <row r="2" spans="1:17" x14ac:dyDescent="0.25">
      <c r="B2">
        <v>10000000</v>
      </c>
      <c r="C2">
        <v>20000000</v>
      </c>
      <c r="D2">
        <v>50000000</v>
      </c>
      <c r="E2">
        <v>100000000</v>
      </c>
      <c r="H2">
        <v>10000000</v>
      </c>
      <c r="I2">
        <v>20000000</v>
      </c>
      <c r="J2">
        <v>50000000</v>
      </c>
      <c r="K2">
        <v>100000000</v>
      </c>
      <c r="N2">
        <v>10000000</v>
      </c>
      <c r="O2">
        <v>20000000</v>
      </c>
      <c r="P2">
        <v>50000000</v>
      </c>
      <c r="Q2">
        <v>100000000</v>
      </c>
    </row>
    <row r="3" spans="1:17" x14ac:dyDescent="0.25">
      <c r="A3" t="s">
        <v>8</v>
      </c>
      <c r="B3">
        <v>0.92291299999999998</v>
      </c>
      <c r="C3">
        <v>2.395686</v>
      </c>
      <c r="D3">
        <v>5.8619519999999996</v>
      </c>
      <c r="E3">
        <v>11.998314000000001</v>
      </c>
      <c r="G3">
        <v>1</v>
      </c>
      <c r="H3">
        <v>1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5">
      <c r="A4" t="s">
        <v>9</v>
      </c>
      <c r="B4">
        <v>2.7935910000000002</v>
      </c>
      <c r="C4">
        <v>7.7073260000000001</v>
      </c>
      <c r="D4">
        <v>28.492303</v>
      </c>
      <c r="E4">
        <v>80.841427999999993</v>
      </c>
      <c r="G4">
        <v>2</v>
      </c>
      <c r="H4">
        <f>1/(B6+B7/G4)</f>
        <v>1.6021430265122629</v>
      </c>
      <c r="I4">
        <f>1/(C6+C7/G4)</f>
        <v>1.6166502037787582</v>
      </c>
      <c r="J4">
        <f>1/(D6+D7/G4)</f>
        <v>1.708478838781103</v>
      </c>
      <c r="K4">
        <f>1/(E6+E7/G4)</f>
        <v>1.7711073937534816</v>
      </c>
      <c r="M4">
        <v>2</v>
      </c>
      <c r="N4">
        <f>B6+B7*M4</f>
        <v>1.7516720000000001</v>
      </c>
      <c r="O4">
        <f>C6+C7*M4</f>
        <v>1.7628740000000001</v>
      </c>
      <c r="P4">
        <f>D6+D7*M4</f>
        <v>1.8293680000000001</v>
      </c>
      <c r="Q4">
        <f>E6+E7*M4</f>
        <v>1.870763</v>
      </c>
    </row>
    <row r="5" spans="1:17" x14ac:dyDescent="0.25">
      <c r="A5" t="s">
        <v>10</v>
      </c>
      <c r="B5">
        <v>3.716504</v>
      </c>
      <c r="C5">
        <v>10.103012</v>
      </c>
      <c r="D5">
        <v>34.354255000000002</v>
      </c>
      <c r="E5">
        <v>92.839742000000001</v>
      </c>
      <c r="G5">
        <v>4</v>
      </c>
      <c r="H5">
        <f>1/(B6+B7/G5)</f>
        <v>2.2922846283977387</v>
      </c>
      <c r="I5">
        <f>1/(C6+C7/G5)</f>
        <v>2.3372977799177037</v>
      </c>
      <c r="J5">
        <f>1/(D6+D7/G5)</f>
        <v>2.6456846238101033</v>
      </c>
      <c r="K5">
        <f>1/(E6+E7/G5)</f>
        <v>2.8824445435685098</v>
      </c>
      <c r="M5">
        <v>4</v>
      </c>
      <c r="N5">
        <f>B6+B7*M5</f>
        <v>3.2550159999999999</v>
      </c>
      <c r="O5">
        <f>C6+C7*M5</f>
        <v>3.2886220000000002</v>
      </c>
      <c r="P5">
        <f>D6+D7*M5</f>
        <v>3.4881039999999999</v>
      </c>
      <c r="Q5">
        <f>E6+E7*M5</f>
        <v>3.6122889999999996</v>
      </c>
    </row>
    <row r="6" spans="1:17" x14ac:dyDescent="0.25">
      <c r="A6" t="s">
        <v>7</v>
      </c>
      <c r="B6">
        <v>0.24832799999999999</v>
      </c>
      <c r="C6">
        <v>0.237126</v>
      </c>
      <c r="D6">
        <v>0.17063200000000001</v>
      </c>
      <c r="E6">
        <v>0.12923699999999999</v>
      </c>
      <c r="G6">
        <v>6</v>
      </c>
      <c r="H6">
        <f>1/(B6+B7/G6)</f>
        <v>2.6766117663853253</v>
      </c>
      <c r="I6">
        <f>1/(C6+C7/G6)</f>
        <v>2.745203900019674</v>
      </c>
      <c r="J6">
        <f>1/(D6+D7/G6)</f>
        <v>3.2377128796218351</v>
      </c>
      <c r="K6">
        <f>1/(E6+E7/G6)</f>
        <v>3.6447908345659816</v>
      </c>
      <c r="M6">
        <v>6</v>
      </c>
      <c r="N6">
        <f>B6+B7*M6</f>
        <v>4.7583599999999997</v>
      </c>
      <c r="O6">
        <f>C6+C7*M6</f>
        <v>4.8143700000000003</v>
      </c>
      <c r="P6">
        <f>D6+D7*M6</f>
        <v>5.1468400000000001</v>
      </c>
      <c r="Q6">
        <f>E6+E7*M6</f>
        <v>5.3538149999999991</v>
      </c>
    </row>
    <row r="7" spans="1:17" x14ac:dyDescent="0.25">
      <c r="A7" t="s">
        <v>6</v>
      </c>
      <c r="B7">
        <v>0.75167200000000001</v>
      </c>
      <c r="C7">
        <v>0.76287400000000005</v>
      </c>
      <c r="D7">
        <v>0.82936799999999999</v>
      </c>
      <c r="E7">
        <v>0.87076299999999995</v>
      </c>
      <c r="G7">
        <v>8</v>
      </c>
      <c r="H7">
        <f>1/(B6+B7/G7)</f>
        <v>2.921524919146798</v>
      </c>
      <c r="I7">
        <f>1/(C6+C7/G7)</f>
        <v>3.0076522191585942</v>
      </c>
      <c r="J7">
        <f>1/(D6+D7/G7)</f>
        <v>3.6456035843574437</v>
      </c>
      <c r="K7">
        <f>1/(E6+E7/G7)</f>
        <v>4.2002269172592053</v>
      </c>
      <c r="M7">
        <v>8</v>
      </c>
      <c r="N7">
        <f>B6+B7*M7</f>
        <v>6.2617039999999999</v>
      </c>
      <c r="O7">
        <f>C6+C7*M7</f>
        <v>6.3401180000000004</v>
      </c>
      <c r="P7">
        <f>D6+D7*M7</f>
        <v>6.8055760000000003</v>
      </c>
      <c r="Q7">
        <f>E6+E7*M7</f>
        <v>7.0953409999999995</v>
      </c>
    </row>
    <row r="9" spans="1:17" x14ac:dyDescent="0.25">
      <c r="A9" s="1" t="s">
        <v>12</v>
      </c>
      <c r="B9" s="1"/>
      <c r="C9" s="1"/>
      <c r="D9" s="1"/>
      <c r="E9" s="1"/>
      <c r="G9" s="1" t="s">
        <v>14</v>
      </c>
      <c r="H9" s="1"/>
      <c r="I9" s="1"/>
      <c r="J9" s="1"/>
      <c r="K9" s="1"/>
      <c r="M9" s="1" t="s">
        <v>16</v>
      </c>
      <c r="N9" s="1"/>
      <c r="O9" s="1"/>
      <c r="P9" s="1"/>
      <c r="Q9" s="1"/>
    </row>
    <row r="10" spans="1:17" x14ac:dyDescent="0.25">
      <c r="B10">
        <v>10000000</v>
      </c>
      <c r="C10">
        <v>20000000</v>
      </c>
      <c r="D10">
        <v>50000000</v>
      </c>
      <c r="E10">
        <v>100000000</v>
      </c>
      <c r="H10">
        <v>10000000</v>
      </c>
      <c r="I10">
        <v>20000000</v>
      </c>
      <c r="J10">
        <v>50000000</v>
      </c>
      <c r="K10">
        <v>100000000</v>
      </c>
      <c r="N10">
        <v>10000000</v>
      </c>
      <c r="O10">
        <v>20000000</v>
      </c>
      <c r="P10">
        <v>50000000</v>
      </c>
      <c r="Q10">
        <v>100000000</v>
      </c>
    </row>
    <row r="11" spans="1:17" x14ac:dyDescent="0.25">
      <c r="A11" t="s">
        <v>8</v>
      </c>
      <c r="B11">
        <v>5.0354999999999997E-2</v>
      </c>
      <c r="C11">
        <v>9.8960000000000006E-2</v>
      </c>
      <c r="D11">
        <v>0.194246</v>
      </c>
      <c r="E11">
        <v>0.40004000000000001</v>
      </c>
      <c r="G11">
        <v>1</v>
      </c>
      <c r="H11">
        <v>1</v>
      </c>
      <c r="I11">
        <v>1</v>
      </c>
      <c r="J11">
        <v>1</v>
      </c>
      <c r="K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25">
      <c r="A12" t="s">
        <v>9</v>
      </c>
      <c r="B12">
        <v>1.3897839999999999</v>
      </c>
      <c r="C12">
        <v>3.9043369999999999</v>
      </c>
      <c r="D12">
        <v>12.354079</v>
      </c>
      <c r="E12">
        <v>33.768973000000003</v>
      </c>
      <c r="G12">
        <v>2</v>
      </c>
      <c r="H12">
        <f>1/(B14+B15/G12)</f>
        <v>1.9324324977173142</v>
      </c>
      <c r="I12">
        <f>1/(C14+C15/G12)</f>
        <v>1.951752673901163</v>
      </c>
      <c r="J12">
        <f>1/(D14+D15/G12)</f>
        <v>1.9695119549375666</v>
      </c>
      <c r="K12">
        <f>1/(E14+E15/G12)</f>
        <v>1.9768549818722396</v>
      </c>
      <c r="M12">
        <v>2</v>
      </c>
      <c r="N12">
        <f>B14+B15*M12</f>
        <v>1.9650349999999999</v>
      </c>
      <c r="O12">
        <f>C14+C15*M12</f>
        <v>1.9752800000000001</v>
      </c>
      <c r="P12">
        <f>D14+D15*M12</f>
        <v>1.9845199999999998</v>
      </c>
      <c r="Q12">
        <f>E14+E15*M12</f>
        <v>1.9882919999999999</v>
      </c>
    </row>
    <row r="13" spans="1:17" x14ac:dyDescent="0.25">
      <c r="A13" t="s">
        <v>10</v>
      </c>
      <c r="B13">
        <v>1.4401390000000001</v>
      </c>
      <c r="C13">
        <v>4.0032969999999999</v>
      </c>
      <c r="D13">
        <v>12.548323999999999</v>
      </c>
      <c r="E13">
        <v>34.169013</v>
      </c>
      <c r="G13">
        <v>4</v>
      </c>
      <c r="H13">
        <f>1/(B14+B15/G13)</f>
        <v>3.6202535082519156</v>
      </c>
      <c r="I13">
        <f>1/(C14+C15/G13)</f>
        <v>3.723840023832576</v>
      </c>
      <c r="J13">
        <f>1/(D14+D15/G13)</f>
        <v>3.8224838500057334</v>
      </c>
      <c r="K13">
        <f>1/(E14+E15/G13)</f>
        <v>3.8642713336759655</v>
      </c>
      <c r="M13">
        <v>4</v>
      </c>
      <c r="N13">
        <f>B14+B15*M13</f>
        <v>3.895105</v>
      </c>
      <c r="O13">
        <f>C14+C15*M13</f>
        <v>3.92584</v>
      </c>
      <c r="P13">
        <f>D14+D15*M13</f>
        <v>3.95356</v>
      </c>
      <c r="Q13">
        <f>E14+E15*M13</f>
        <v>3.9648759999999998</v>
      </c>
    </row>
    <row r="14" spans="1:17" x14ac:dyDescent="0.25">
      <c r="A14" t="s">
        <v>7</v>
      </c>
      <c r="B14">
        <v>3.4965000000000003E-2</v>
      </c>
      <c r="C14">
        <v>2.4719999999999999E-2</v>
      </c>
      <c r="D14">
        <v>1.5480000000000001E-2</v>
      </c>
      <c r="E14">
        <v>1.1708E-2</v>
      </c>
      <c r="G14">
        <v>6</v>
      </c>
      <c r="H14">
        <f>1/(B14+B15/G14)</f>
        <v>5.1071436171344669</v>
      </c>
      <c r="I14">
        <f>1/(C14+C15/G14)</f>
        <v>5.3399786400854401</v>
      </c>
      <c r="J14">
        <f>1/(D14+D15/G14)</f>
        <v>5.5689623166883244</v>
      </c>
      <c r="K14">
        <f>1/(E14+E15/G14)</f>
        <v>5.6681844805108925</v>
      </c>
      <c r="M14">
        <v>6</v>
      </c>
      <c r="N14">
        <f>B14+B15*M14</f>
        <v>5.8251749999999998</v>
      </c>
      <c r="O14">
        <f>C14+C15*M14</f>
        <v>5.8764000000000003</v>
      </c>
      <c r="P14">
        <f>D14+D15*M14</f>
        <v>5.9226000000000001</v>
      </c>
      <c r="Q14">
        <f>E14+E15*M14</f>
        <v>5.9414599999999993</v>
      </c>
    </row>
    <row r="15" spans="1:17" x14ac:dyDescent="0.25">
      <c r="A15" t="s">
        <v>6</v>
      </c>
      <c r="B15">
        <v>0.96503499999999998</v>
      </c>
      <c r="C15">
        <v>0.97528000000000004</v>
      </c>
      <c r="D15">
        <v>0.98451999999999995</v>
      </c>
      <c r="E15">
        <v>0.98829199999999995</v>
      </c>
      <c r="G15">
        <v>8</v>
      </c>
      <c r="H15">
        <f>1/(B14+B15/G15)</f>
        <v>6.4269675558644064</v>
      </c>
      <c r="I15">
        <f>1/(C14+C15/G15)</f>
        <v>6.8198867898792876</v>
      </c>
      <c r="J15">
        <f>1/(D14+D15/G15)</f>
        <v>7.2178714497094809</v>
      </c>
      <c r="K15">
        <f>1/(E14+E15/G15)</f>
        <v>7.3940160228327221</v>
      </c>
      <c r="M15">
        <v>8</v>
      </c>
      <c r="N15">
        <f>B14+B15*M15</f>
        <v>7.7552449999999995</v>
      </c>
      <c r="O15">
        <f>C14+C15*M15</f>
        <v>7.8269600000000006</v>
      </c>
      <c r="P15">
        <f>D14+D15*M15</f>
        <v>7.8916399999999998</v>
      </c>
      <c r="Q15">
        <f>E14+E15*M15</f>
        <v>7.9180439999999992</v>
      </c>
    </row>
  </sheetData>
  <mergeCells count="6">
    <mergeCell ref="G9:K9"/>
    <mergeCell ref="G1:K1"/>
    <mergeCell ref="M1:Q1"/>
    <mergeCell ref="M9:Q9"/>
    <mergeCell ref="A1:E1"/>
    <mergeCell ref="A9:E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3D67-7D38-4993-89AF-C190AC66B662}">
  <dimension ref="A1:E40"/>
  <sheetViews>
    <sheetView tabSelected="1" topLeftCell="A10" zoomScale="149" workbookViewId="0">
      <selection activeCell="E36" sqref="E36"/>
    </sheetView>
  </sheetViews>
  <sheetFormatPr defaultRowHeight="15" x14ac:dyDescent="0.25"/>
  <sheetData>
    <row r="1" spans="1:5" x14ac:dyDescent="0.25">
      <c r="A1" t="s">
        <v>17</v>
      </c>
      <c r="B1" t="s">
        <v>18</v>
      </c>
      <c r="C1" t="s">
        <v>19</v>
      </c>
      <c r="D1" t="s">
        <v>21</v>
      </c>
      <c r="E1" t="s">
        <v>20</v>
      </c>
    </row>
    <row r="2" spans="1:5" x14ac:dyDescent="0.25">
      <c r="A2">
        <v>10000000</v>
      </c>
      <c r="B2">
        <v>0.61199999999999999</v>
      </c>
      <c r="C2">
        <v>3.122439</v>
      </c>
      <c r="D2">
        <v>1.978523</v>
      </c>
      <c r="E2">
        <v>0.55000000000000004</v>
      </c>
    </row>
    <row r="3" spans="1:5" x14ac:dyDescent="0.25">
      <c r="A3">
        <v>15000000</v>
      </c>
      <c r="B3">
        <v>1.0569999999999999</v>
      </c>
      <c r="C3">
        <v>5.5079390000000004</v>
      </c>
      <c r="D3">
        <v>3.7846440000000001</v>
      </c>
      <c r="E3">
        <v>0.92143200000000003</v>
      </c>
    </row>
    <row r="4" spans="1:5" x14ac:dyDescent="0.25">
      <c r="A4">
        <v>20000000</v>
      </c>
      <c r="B4">
        <v>1.5409999999999999</v>
      </c>
      <c r="C4">
        <v>8.9404459999999997</v>
      </c>
      <c r="D4">
        <v>4.7075199999999997</v>
      </c>
      <c r="E4">
        <v>1.276546</v>
      </c>
    </row>
    <row r="5" spans="1:5" x14ac:dyDescent="0.25">
      <c r="A5">
        <v>25000000</v>
      </c>
      <c r="B5">
        <v>2.0979999999999999</v>
      </c>
      <c r="C5">
        <v>12.018957</v>
      </c>
      <c r="D5">
        <v>6.4178819999999996</v>
      </c>
      <c r="E5">
        <v>1.8573759999999999</v>
      </c>
    </row>
    <row r="6" spans="1:5" x14ac:dyDescent="0.25">
      <c r="A6">
        <v>30000000</v>
      </c>
      <c r="B6">
        <v>2.8450000000000002</v>
      </c>
      <c r="C6">
        <v>15.344973</v>
      </c>
      <c r="D6">
        <v>8.8490559999999991</v>
      </c>
      <c r="E6">
        <v>2.0481099999999999</v>
      </c>
    </row>
    <row r="7" spans="1:5" x14ac:dyDescent="0.25">
      <c r="A7">
        <v>35000000</v>
      </c>
      <c r="B7">
        <v>3.4239999999999999</v>
      </c>
      <c r="C7">
        <v>18.010586</v>
      </c>
      <c r="D7">
        <v>9.3750129999999992</v>
      </c>
      <c r="E7">
        <v>2.4900039999999999</v>
      </c>
    </row>
    <row r="8" spans="1:5" x14ac:dyDescent="0.25">
      <c r="A8">
        <v>40000000</v>
      </c>
      <c r="B8">
        <v>4.3209999999999997</v>
      </c>
      <c r="C8">
        <v>20.931664000000001</v>
      </c>
      <c r="D8">
        <v>12.351084999999999</v>
      </c>
      <c r="E8">
        <v>3.2734380000000001</v>
      </c>
    </row>
    <row r="9" spans="1:5" x14ac:dyDescent="0.25">
      <c r="A9">
        <v>45000000</v>
      </c>
      <c r="B9">
        <v>5.9690000000000003</v>
      </c>
      <c r="C9">
        <v>26.676121999999999</v>
      </c>
      <c r="D9">
        <v>17.511420000000001</v>
      </c>
      <c r="E9">
        <v>3.5392540000000001</v>
      </c>
    </row>
    <row r="10" spans="1:5" x14ac:dyDescent="0.25">
      <c r="A10">
        <v>50000000</v>
      </c>
      <c r="B10">
        <v>8.0730000000000004</v>
      </c>
      <c r="C10">
        <v>29.201584</v>
      </c>
      <c r="D10">
        <v>16.046921999999999</v>
      </c>
      <c r="E10">
        <v>4.0390699999999997</v>
      </c>
    </row>
    <row r="11" spans="1:5" x14ac:dyDescent="0.25">
      <c r="A11">
        <v>55000000</v>
      </c>
      <c r="B11">
        <v>8.6479999999999997</v>
      </c>
      <c r="C11">
        <v>32.929178999999998</v>
      </c>
      <c r="D11">
        <v>22.046465000000001</v>
      </c>
      <c r="E11">
        <v>5.2685750000000002</v>
      </c>
    </row>
    <row r="12" spans="1:5" x14ac:dyDescent="0.25">
      <c r="A12">
        <v>60000000</v>
      </c>
      <c r="B12">
        <v>9.5190000000000001</v>
      </c>
      <c r="C12">
        <v>38.565423000000003</v>
      </c>
      <c r="D12">
        <v>20.556564000000002</v>
      </c>
      <c r="E12">
        <v>5.8413110000000001</v>
      </c>
    </row>
    <row r="13" spans="1:5" x14ac:dyDescent="0.25">
      <c r="A13">
        <v>65000000</v>
      </c>
      <c r="B13">
        <v>9.9529999999999994</v>
      </c>
      <c r="C13">
        <v>50.777777999999998</v>
      </c>
      <c r="D13">
        <v>20.354225</v>
      </c>
      <c r="E13">
        <v>6.9780009999999999</v>
      </c>
    </row>
    <row r="14" spans="1:5" x14ac:dyDescent="0.25">
      <c r="A14">
        <v>70000000</v>
      </c>
      <c r="B14">
        <v>11.127000000000001</v>
      </c>
      <c r="C14">
        <v>63.340834000000001</v>
      </c>
      <c r="D14">
        <v>26.592600000000001</v>
      </c>
      <c r="E14">
        <v>7.6925299999999996</v>
      </c>
    </row>
    <row r="15" spans="1:5" x14ac:dyDescent="0.25">
      <c r="A15">
        <v>75000000</v>
      </c>
      <c r="B15">
        <v>12.686</v>
      </c>
      <c r="C15">
        <v>69.109358999999998</v>
      </c>
      <c r="D15">
        <v>25.586621000000001</v>
      </c>
      <c r="E15">
        <v>9.9153140000000004</v>
      </c>
    </row>
    <row r="16" spans="1:5" x14ac:dyDescent="0.25">
      <c r="A16">
        <v>80000000</v>
      </c>
      <c r="B16">
        <v>13.398999999999999</v>
      </c>
      <c r="C16">
        <v>75.068881000000005</v>
      </c>
      <c r="D16">
        <v>29.832725</v>
      </c>
      <c r="E16">
        <v>10.056317</v>
      </c>
    </row>
    <row r="17" spans="1:5" x14ac:dyDescent="0.25">
      <c r="A17">
        <v>85000000</v>
      </c>
      <c r="B17">
        <v>14.74</v>
      </c>
      <c r="C17">
        <v>86.416640999999998</v>
      </c>
      <c r="D17">
        <v>29.588652</v>
      </c>
      <c r="E17">
        <v>9.9292269999999991</v>
      </c>
    </row>
    <row r="18" spans="1:5" x14ac:dyDescent="0.25">
      <c r="A18">
        <v>90000000</v>
      </c>
      <c r="B18">
        <v>15.725</v>
      </c>
      <c r="C18">
        <v>82.332379000000003</v>
      </c>
      <c r="D18">
        <v>32.121394000000002</v>
      </c>
      <c r="E18">
        <v>10.169242000000001</v>
      </c>
    </row>
    <row r="19" spans="1:5" x14ac:dyDescent="0.25">
      <c r="A19">
        <v>95000000</v>
      </c>
      <c r="B19">
        <v>15.848000000000001</v>
      </c>
      <c r="C19">
        <v>98.141268999999994</v>
      </c>
      <c r="D19">
        <v>37.033949999999997</v>
      </c>
      <c r="E19">
        <v>11.034445</v>
      </c>
    </row>
    <row r="20" spans="1:5" x14ac:dyDescent="0.25">
      <c r="A20">
        <v>100000000</v>
      </c>
      <c r="B20">
        <v>17.047999999999998</v>
      </c>
      <c r="C20">
        <v>107.240549</v>
      </c>
      <c r="D20">
        <v>44.514442000000003</v>
      </c>
      <c r="E20">
        <v>11.505064000000001</v>
      </c>
    </row>
    <row r="21" spans="1:5" x14ac:dyDescent="0.25">
      <c r="A21">
        <v>105000000</v>
      </c>
      <c r="B21">
        <v>19.753</v>
      </c>
      <c r="C21">
        <v>105.37048</v>
      </c>
      <c r="D21">
        <v>40.418135999999997</v>
      </c>
      <c r="E21">
        <v>12.093972000000001</v>
      </c>
    </row>
    <row r="22" spans="1:5" x14ac:dyDescent="0.25">
      <c r="A22">
        <v>110000000</v>
      </c>
      <c r="B22">
        <v>22.457999999999998</v>
      </c>
      <c r="C22">
        <v>126.428952</v>
      </c>
      <c r="D22">
        <v>40.874318000000002</v>
      </c>
      <c r="E22">
        <v>13.145618000000001</v>
      </c>
    </row>
    <row r="23" spans="1:5" x14ac:dyDescent="0.25">
      <c r="A23">
        <v>115000000</v>
      </c>
      <c r="B23">
        <v>24.315000000000001</v>
      </c>
      <c r="C23">
        <v>131.21434300000001</v>
      </c>
      <c r="D23">
        <v>49.318876000000003</v>
      </c>
      <c r="E23">
        <v>13.595419</v>
      </c>
    </row>
    <row r="24" spans="1:5" x14ac:dyDescent="0.25">
      <c r="A24">
        <v>120000000</v>
      </c>
      <c r="B24">
        <v>23.919</v>
      </c>
      <c r="C24">
        <v>136.99463299999999</v>
      </c>
      <c r="D24">
        <v>46.741971999999997</v>
      </c>
      <c r="E24">
        <v>14.814423</v>
      </c>
    </row>
    <row r="25" spans="1:5" x14ac:dyDescent="0.25">
      <c r="A25">
        <v>125000000</v>
      </c>
      <c r="B25">
        <v>25.841999999999999</v>
      </c>
      <c r="C25">
        <v>152.49593300000001</v>
      </c>
      <c r="D25">
        <v>49.897720999999997</v>
      </c>
      <c r="E25">
        <v>15.462853000000001</v>
      </c>
    </row>
    <row r="26" spans="1:5" x14ac:dyDescent="0.25">
      <c r="A26">
        <v>130000000</v>
      </c>
      <c r="B26">
        <v>28.629000000000001</v>
      </c>
      <c r="C26">
        <v>159.67055500000001</v>
      </c>
      <c r="D26">
        <v>55.072287000000003</v>
      </c>
      <c r="E26">
        <v>16.194811999999999</v>
      </c>
    </row>
    <row r="27" spans="1:5" x14ac:dyDescent="0.25">
      <c r="A27">
        <v>135000000</v>
      </c>
      <c r="B27">
        <v>28.564</v>
      </c>
      <c r="C27">
        <v>166.96337800000001</v>
      </c>
      <c r="D27">
        <v>58.153084</v>
      </c>
      <c r="E27">
        <v>17.148802</v>
      </c>
    </row>
    <row r="28" spans="1:5" x14ac:dyDescent="0.25">
      <c r="A28">
        <v>140000000</v>
      </c>
      <c r="B28">
        <v>28.489000000000001</v>
      </c>
      <c r="C28">
        <v>153.16600500000001</v>
      </c>
      <c r="D28">
        <v>52.498837999999999</v>
      </c>
      <c r="E28">
        <v>18.527553999999999</v>
      </c>
    </row>
    <row r="29" spans="1:5" x14ac:dyDescent="0.25">
      <c r="A29">
        <v>145000000</v>
      </c>
      <c r="B29">
        <v>31.704999999999998</v>
      </c>
      <c r="C29">
        <v>202.24257299999999</v>
      </c>
      <c r="D29">
        <v>57.047615</v>
      </c>
      <c r="E29">
        <v>18.911625000000001</v>
      </c>
    </row>
    <row r="30" spans="1:5" x14ac:dyDescent="0.25">
      <c r="A30">
        <v>150000000</v>
      </c>
      <c r="B30">
        <v>33.576000000000001</v>
      </c>
      <c r="C30">
        <v>197.665719</v>
      </c>
      <c r="D30">
        <v>63.538203000000003</v>
      </c>
      <c r="E30">
        <v>20.430164999999999</v>
      </c>
    </row>
    <row r="31" spans="1:5" x14ac:dyDescent="0.25">
      <c r="A31">
        <v>155000000</v>
      </c>
      <c r="B31">
        <v>36.679000000000002</v>
      </c>
      <c r="C31">
        <v>178.110602</v>
      </c>
      <c r="D31">
        <v>68.776694000000006</v>
      </c>
      <c r="E31">
        <v>23.074195</v>
      </c>
    </row>
    <row r="32" spans="1:5" x14ac:dyDescent="0.25">
      <c r="A32">
        <v>160000000</v>
      </c>
      <c r="B32">
        <v>35.526000000000003</v>
      </c>
      <c r="C32">
        <v>171.97265100000001</v>
      </c>
      <c r="D32">
        <v>75.404195000000001</v>
      </c>
      <c r="E32">
        <v>23.935818999999999</v>
      </c>
    </row>
    <row r="33" spans="1:5" x14ac:dyDescent="0.25">
      <c r="A33">
        <v>165000000</v>
      </c>
      <c r="B33">
        <v>38.374000000000002</v>
      </c>
      <c r="C33">
        <v>225.55224100000001</v>
      </c>
      <c r="D33">
        <v>75.311807999999999</v>
      </c>
      <c r="E33">
        <v>25.402840000000001</v>
      </c>
    </row>
    <row r="34" spans="1:5" x14ac:dyDescent="0.25">
      <c r="A34">
        <v>170000000</v>
      </c>
      <c r="B34">
        <v>43.917000000000002</v>
      </c>
      <c r="C34">
        <v>244.509726</v>
      </c>
      <c r="D34">
        <v>76.938416000000004</v>
      </c>
      <c r="E34">
        <v>25.120168</v>
      </c>
    </row>
    <row r="35" spans="1:5" x14ac:dyDescent="0.25">
      <c r="A35">
        <v>175000000</v>
      </c>
      <c r="B35">
        <v>42.796999999999997</v>
      </c>
      <c r="C35">
        <v>251.22929500000001</v>
      </c>
      <c r="D35">
        <v>77.217837000000003</v>
      </c>
      <c r="E35">
        <v>26.246811000000001</v>
      </c>
    </row>
    <row r="36" spans="1:5" x14ac:dyDescent="0.25">
      <c r="A36">
        <v>180000000</v>
      </c>
      <c r="B36">
        <v>45.875</v>
      </c>
      <c r="C36">
        <v>248.96807799999999</v>
      </c>
      <c r="D36">
        <v>78.147154</v>
      </c>
      <c r="E36">
        <v>26.803812000000001</v>
      </c>
    </row>
    <row r="37" spans="1:5" x14ac:dyDescent="0.25">
      <c r="A37">
        <v>185000000</v>
      </c>
      <c r="B37">
        <v>49.539000000000001</v>
      </c>
      <c r="C37">
        <v>259.259837</v>
      </c>
      <c r="D37">
        <v>79.126165</v>
      </c>
      <c r="E37">
        <v>27.753297</v>
      </c>
    </row>
    <row r="38" spans="1:5" x14ac:dyDescent="0.25">
      <c r="A38">
        <v>190000000</v>
      </c>
      <c r="B38">
        <v>48.234000000000002</v>
      </c>
      <c r="C38">
        <v>262.74265600000001</v>
      </c>
      <c r="D38">
        <v>89.651463000000007</v>
      </c>
      <c r="E38">
        <v>27.647017999999999</v>
      </c>
    </row>
    <row r="39" spans="1:5" x14ac:dyDescent="0.25">
      <c r="A39">
        <v>195000000</v>
      </c>
      <c r="B39">
        <v>56.164999999999999</v>
      </c>
      <c r="C39">
        <v>273.19705800000003</v>
      </c>
      <c r="D39">
        <v>91.211419000000006</v>
      </c>
      <c r="E39">
        <v>28.780218999999999</v>
      </c>
    </row>
    <row r="40" spans="1:5" x14ac:dyDescent="0.25">
      <c r="A40">
        <v>200000000</v>
      </c>
      <c r="B40">
        <v>62.033999999999999</v>
      </c>
      <c r="C40">
        <v>274.25776200000001</v>
      </c>
      <c r="D40">
        <v>93.049601999999993</v>
      </c>
      <c r="E40">
        <v>30.011195000000001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Terrence Tong</dc:creator>
  <cp:lastModifiedBy>Terrence Tong</cp:lastModifiedBy>
  <dcterms:created xsi:type="dcterms:W3CDTF">2026-09-15T21:14:59Z</dcterms:created>
  <dcterms:modified xsi:type="dcterms:W3CDTF">2026-09-16T20:17:57Z</dcterms:modified>
</cp:coreProperties>
</file>