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uon\FIT3143\lab_1\"/>
    </mc:Choice>
  </mc:AlternateContent>
  <xr:revisionPtr revIDLastSave="0" documentId="13_ncr:1_{A3202556-E62F-46BC-B45B-2A8E165160AE}" xr6:coauthVersionLast="47" xr6:coauthVersionMax="47" xr10:uidLastSave="{00000000-0000-0000-0000-000000000000}"/>
  <bookViews>
    <workbookView xWindow="-120" yWindow="-120" windowWidth="38640" windowHeight="21120" xr2:uid="{7E9B88F8-E970-4449-AAF8-04408A8C7F20}"/>
  </bookViews>
  <sheets>
    <sheet name="Threads vs Speedup Factor" sheetId="6" r:id="rId1"/>
    <sheet name="n vs Average Time" sheetId="7" r:id="rId2"/>
    <sheet name="OpenMP vs Serial" sheetId="8" r:id="rId3"/>
    <sheet name="Sheet5" sheetId="13" r:id="rId4"/>
    <sheet name="t2 vs t3" sheetId="9" r:id="rId5"/>
    <sheet name="timing_log_task3" sheetId="1" r:id="rId6"/>
  </sheet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G26" i="1" a="1"/>
  <c r="G26" i="1" s="1"/>
  <c r="I2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" i="1"/>
  <c r="J9" i="1" l="1"/>
  <c r="J7" i="1"/>
  <c r="J19" i="1"/>
  <c r="J25" i="1"/>
  <c r="J11" i="1"/>
  <c r="J10" i="1"/>
  <c r="J12" i="1"/>
  <c r="J13" i="1"/>
  <c r="J14" i="1"/>
  <c r="J15" i="1"/>
  <c r="J16" i="1"/>
  <c r="J17" i="1"/>
  <c r="J2" i="1"/>
  <c r="J18" i="1"/>
  <c r="J3" i="1"/>
  <c r="J4" i="1"/>
  <c r="J20" i="1"/>
  <c r="J5" i="1"/>
  <c r="J21" i="1"/>
  <c r="J6" i="1"/>
  <c r="J22" i="1"/>
  <c r="J23" i="1"/>
  <c r="J8" i="1"/>
  <c r="J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<sst xmlns="http://schemas.openxmlformats.org/spreadsheetml/2006/main" count="164" uniqueCount="34">
  <si>
    <t>n</t>
  </si>
  <si>
    <t>threads</t>
  </si>
  <si>
    <t>run</t>
  </si>
  <si>
    <t>time_seconds</t>
  </si>
  <si>
    <t>average_time</t>
  </si>
  <si>
    <t>speedup</t>
  </si>
  <si>
    <t>Sum of speedup</t>
  </si>
  <si>
    <t>Column Labels</t>
  </si>
  <si>
    <t>Grand Total</t>
  </si>
  <si>
    <t>Row Labels</t>
  </si>
  <si>
    <t>Ideal</t>
  </si>
  <si>
    <t>Sum of average_time</t>
  </si>
  <si>
    <t>implementation</t>
  </si>
  <si>
    <t>openmp</t>
  </si>
  <si>
    <t>serial</t>
  </si>
  <si>
    <t>(All)</t>
  </si>
  <si>
    <t>(blank)</t>
  </si>
  <si>
    <t>20000000</t>
  </si>
  <si>
    <t>50000000</t>
  </si>
  <si>
    <t>100000000</t>
  </si>
  <si>
    <t>POSIX</t>
  </si>
  <si>
    <t>OpenMP</t>
  </si>
  <si>
    <t>Time</t>
  </si>
  <si>
    <t>Algorithm</t>
  </si>
  <si>
    <t>Sum of Time</t>
  </si>
  <si>
    <t>Threads</t>
  </si>
  <si>
    <t>OpenMP 10M</t>
  </si>
  <si>
    <t>POSIX 10M</t>
  </si>
  <si>
    <t>OpenMP 20M</t>
  </si>
  <si>
    <t>POSIX 20M</t>
  </si>
  <si>
    <t>OpenMP 50M</t>
  </si>
  <si>
    <t>POSIX 50M</t>
  </si>
  <si>
    <t>OpenMP 100M</t>
  </si>
  <si>
    <t>POSIX 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</si>
</sst>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Threads vs Speed Factor (OpenMP Implementation)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'Threads vs Speedup Factor'!$A$15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Factor'!$B$15:$G$15</c:f>
              <c:numCache>
                <c:formatCode>General</c:formatCode>
                <c:ptCount val="6"/>
                <c:pt idx="0">
                  <c:v>1</c:v>
                </c:pt>
                <c:pt idx="1">
                  <c:v>2.0289544735127087</c:v>
                </c:pt>
                <c:pt idx="2">
                  <c:v>3.7802254986990467</c:v>
                </c:pt>
                <c:pt idx="3">
                  <c:v>5.3283618581907106</c:v>
                </c:pt>
                <c:pt idx="4">
                  <c:v>5.7714512711864421</c:v>
                </c:pt>
                <c:pt idx="5">
                  <c:v>6.4860119047619067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E7-47A1-BCD8-BC8DB899F8EC}"/>
            </c:ext>
          </c:extLst>
        </c:ser>
        <c:ser>
          <c:idx val="1"/>
          <c:order val="1"/>
          <c:tx>
            <c:strRef>
              <c:f>'Threads vs Speedup Factor'!$A$16</c:f>
              <c:strCache>
                <c:ptCount val="1"/>
                <c:pt idx="0">
                  <c:v>20000000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Factor'!$B$16:$G$16</c:f>
              <c:numCache>
                <c:formatCode>General</c:formatCode>
                <c:ptCount val="6"/>
                <c:pt idx="0">
                  <c:v>1</c:v>
                </c:pt>
                <c:pt idx="1">
                  <c:v>1.8530379256965943</c:v>
                </c:pt>
                <c:pt idx="2">
                  <c:v>3.8377638258081754</c:v>
                </c:pt>
                <c:pt idx="3">
                  <c:v>5.2531541415249583</c:v>
                </c:pt>
                <c:pt idx="4">
                  <c:v>6.1631449104365545</c:v>
                </c:pt>
                <c:pt idx="5">
                  <c:v>6.5146258503401357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E7-47A1-BCD8-BC8DB899F8EC}"/>
            </c:ext>
          </c:extLst>
        </c:ser>
        <c:ser>
          <c:idx val="2"/>
          <c:order val="2"/>
          <c:tx>
            <c:strRef>
              <c:f>'Threads vs Speedup Factor'!$A$17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Factor'!$B$17:$G$17</c:f>
              <c:numCache>
                <c:formatCode>General</c:formatCode>
                <c:ptCount val="6"/>
                <c:pt idx="0">
                  <c:v>1</c:v>
                </c:pt>
                <c:pt idx="1">
                  <c:v>1.7982180676257942</c:v>
                </c:pt>
                <c:pt idx="2">
                  <c:v>3.6933268891036959</c:v>
                </c:pt>
                <c:pt idx="3">
                  <c:v>5.1045054590685028</c:v>
                </c:pt>
                <c:pt idx="4">
                  <c:v>6.0343916784663971</c:v>
                </c:pt>
                <c:pt idx="5">
                  <c:v>6.6407060022174926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E7-47A1-BCD8-BC8DB899F8EC}"/>
            </c:ext>
          </c:extLst>
        </c:ser>
        <c:ser>
          <c:idx val="3"/>
          <c:order val="3"/>
          <c:tx>
            <c:strRef>
              <c:f>'Threads vs Speedup Factor'!$A$18</c:f>
              <c:strCache>
                <c:ptCount val="1"/>
                <c:pt idx="0">
                  <c:v>100000000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Factor'!$B$18:$G$18</c:f>
              <c:numCache>
                <c:formatCode>General</c:formatCode>
                <c:ptCount val="6"/>
                <c:pt idx="0">
                  <c:v>1</c:v>
                </c:pt>
                <c:pt idx="1">
                  <c:v>1.5640574004040824</c:v>
                </c:pt>
                <c:pt idx="2">
                  <c:v>2.8333724367697437</c:v>
                </c:pt>
                <c:pt idx="3">
                  <c:v>4.9027679666122665</c:v>
                </c:pt>
                <c:pt idx="4">
                  <c:v>6.1508215424421158</c:v>
                </c:pt>
                <c:pt idx="5">
                  <c:v>6.5410780830227946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E7-47A1-BCD8-BC8DB899F8EC}"/>
            </c:ext>
          </c:extLst>
        </c:ser>
        <c:ser>
          <c:idx val="4"/>
          <c:order val="4"/>
          <c:tx>
            <c:strRef>
              <c:f>'Threads vs Speedup Factor'!$A$19</c:f>
              <c:strCache>
                <c:ptCount val="1"/>
                <c:pt idx="0">
                  <c:v>Ideal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'Threads vs Speedup Factor'!$B$14:$G$14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xVal>
          <c:yVal>
            <c:numRef>
              <c:f>'Threads vs Speedup Factor'!$B$19:$G$19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0E7-47A1-BCD8-BC8DB899F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062447"/>
        <c:axId val="1131315087"/>
      </c:scatterChart>
      <c:valAx>
        <c:axId val="1139062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315087"/>
        <c:crosses val="autoZero"/>
        <c:crossBetween val="midCat"/>
      </c:valAx>
      <c:valAx>
        <c:axId val="11313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Speedup Factor</a:t>
                </a:r>
              </a:p>
              <a:p>
                <a:pPr>
                  <a:defRPr/>
                </a:pP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9062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Threads</a:t>
            </a:r>
            <a:r>
              <a:rPr lang="es-MX" baseline="0"/>
              <a:t> vs Speed Factor (OpenMP vs POSIX)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('Threads vs Speedup Factor'!$B$26:$G$26,'Threads vs Speedup Factor'!$J$26)</c:f>
              <c:strCache>
                <c:ptCount val="7"/>
                <c:pt idx="0">
                  <c:v>OpenMP 10M</c:v>
                </c:pt>
                <c:pt idx="1">
                  <c:v>POSIX 10M</c:v>
                </c:pt>
                <c:pt idx="2">
                  <c:v>OpenMP 20M</c:v>
                </c:pt>
                <c:pt idx="3">
                  <c:v>POSIX 20M</c:v>
                </c:pt>
                <c:pt idx="4">
                  <c:v>OpenMP 50M</c:v>
                </c:pt>
                <c:pt idx="5">
                  <c:v>POSIX 50M</c:v>
                </c:pt>
                <c:pt idx="6">
                  <c:v>Ideal</c:v>
                </c:pt>
              </c:strCache>
            </c:strRef>
          </c:cat>
          <c:val>
            <c:numRef>
              <c:f>('Threads vs Speedup Factor'!$B$27:$G$27,'Threads vs Speedup Factor'!$J$27)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0-4A4F-BD47-D7B44EA4ACEB}"/>
            </c:ext>
          </c:extLst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('Threads vs Speedup Factor'!$B$26:$G$26,'Threads vs Speedup Factor'!$J$26)</c:f>
              <c:strCache>
                <c:ptCount val="7"/>
                <c:pt idx="0">
                  <c:v>OpenMP 10M</c:v>
                </c:pt>
                <c:pt idx="1">
                  <c:v>POSIX 10M</c:v>
                </c:pt>
                <c:pt idx="2">
                  <c:v>OpenMP 20M</c:v>
                </c:pt>
                <c:pt idx="3">
                  <c:v>POSIX 20M</c:v>
                </c:pt>
                <c:pt idx="4">
                  <c:v>OpenMP 50M</c:v>
                </c:pt>
                <c:pt idx="5">
                  <c:v>POSIX 50M</c:v>
                </c:pt>
                <c:pt idx="6">
                  <c:v>Ideal</c:v>
                </c:pt>
              </c:strCache>
            </c:strRef>
          </c:cat>
          <c:val>
            <c:numRef>
              <c:f>('Threads vs Speedup Factor'!$B$28:$G$28,'Threads vs Speedup Factor'!$J$28)</c:f>
              <c:numCache>
                <c:formatCode>General</c:formatCode>
                <c:ptCount val="7"/>
                <c:pt idx="0">
                  <c:v>2.0289999999999999</c:v>
                </c:pt>
                <c:pt idx="1">
                  <c:v>1.456</c:v>
                </c:pt>
                <c:pt idx="2">
                  <c:v>1.853</c:v>
                </c:pt>
                <c:pt idx="3">
                  <c:v>1.7909999999999999</c:v>
                </c:pt>
                <c:pt idx="4">
                  <c:v>1.798</c:v>
                </c:pt>
                <c:pt idx="5">
                  <c:v>1.8080000000000001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F0-4A4F-BD47-D7B44EA4ACEB}"/>
            </c:ext>
          </c:extLst>
        </c:ser>
        <c:ser>
          <c:idx val="2"/>
          <c:order val="2"/>
          <c:tx>
            <c:v>4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('Threads vs Speedup Factor'!$B$26:$G$26,'Threads vs Speedup Factor'!$J$26)</c:f>
              <c:strCache>
                <c:ptCount val="7"/>
                <c:pt idx="0">
                  <c:v>OpenMP 10M</c:v>
                </c:pt>
                <c:pt idx="1">
                  <c:v>POSIX 10M</c:v>
                </c:pt>
                <c:pt idx="2">
                  <c:v>OpenMP 20M</c:v>
                </c:pt>
                <c:pt idx="3">
                  <c:v>POSIX 20M</c:v>
                </c:pt>
                <c:pt idx="4">
                  <c:v>OpenMP 50M</c:v>
                </c:pt>
                <c:pt idx="5">
                  <c:v>POSIX 50M</c:v>
                </c:pt>
                <c:pt idx="6">
                  <c:v>Ideal</c:v>
                </c:pt>
              </c:strCache>
            </c:strRef>
          </c:cat>
          <c:val>
            <c:numRef>
              <c:f>('Threads vs Speedup Factor'!$B$29:$G$29,'Threads vs Speedup Factor'!$J$29)</c:f>
              <c:numCache>
                <c:formatCode>General</c:formatCode>
                <c:ptCount val="7"/>
                <c:pt idx="0">
                  <c:v>3.78</c:v>
                </c:pt>
                <c:pt idx="1">
                  <c:v>2.8439999999999999</c:v>
                </c:pt>
                <c:pt idx="2">
                  <c:v>3.8380000000000001</c:v>
                </c:pt>
                <c:pt idx="3">
                  <c:v>2.6190000000000002</c:v>
                </c:pt>
                <c:pt idx="4">
                  <c:v>3.6930000000000001</c:v>
                </c:pt>
                <c:pt idx="5">
                  <c:v>2.8359999999999999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F0-4A4F-BD47-D7B44EA4ACEB}"/>
            </c:ext>
          </c:extLst>
        </c:ser>
        <c:ser>
          <c:idx val="4"/>
          <c:order val="3"/>
          <c:tx>
            <c:v>8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('Threads vs Speedup Factor'!$B$26:$G$26,'Threads vs Speedup Factor'!$J$26)</c:f>
              <c:strCache>
                <c:ptCount val="7"/>
                <c:pt idx="0">
                  <c:v>OpenMP 10M</c:v>
                </c:pt>
                <c:pt idx="1">
                  <c:v>POSIX 10M</c:v>
                </c:pt>
                <c:pt idx="2">
                  <c:v>OpenMP 20M</c:v>
                </c:pt>
                <c:pt idx="3">
                  <c:v>POSIX 20M</c:v>
                </c:pt>
                <c:pt idx="4">
                  <c:v>OpenMP 50M</c:v>
                </c:pt>
                <c:pt idx="5">
                  <c:v>POSIX 50M</c:v>
                </c:pt>
                <c:pt idx="6">
                  <c:v>Ideal</c:v>
                </c:pt>
              </c:strCache>
            </c:strRef>
          </c:cat>
          <c:val>
            <c:numRef>
              <c:f>('Threads vs Speedup Factor'!$B$31:$G$31,'Threads vs Speedup Factor'!$J$31)</c:f>
              <c:numCache>
                <c:formatCode>General</c:formatCode>
                <c:ptCount val="7"/>
                <c:pt idx="0">
                  <c:v>5.7709999999999999</c:v>
                </c:pt>
                <c:pt idx="1">
                  <c:v>5.2770000000000001</c:v>
                </c:pt>
                <c:pt idx="2">
                  <c:v>6.1630000000000003</c:v>
                </c:pt>
                <c:pt idx="3">
                  <c:v>5.024</c:v>
                </c:pt>
                <c:pt idx="4">
                  <c:v>6.0339999999999998</c:v>
                </c:pt>
                <c:pt idx="5">
                  <c:v>5.0289999999999999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F0-4A4F-BD47-D7B44EA4A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4164064"/>
        <c:axId val="1083922960"/>
      </c:barChart>
      <c:catAx>
        <c:axId val="123416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Algorithm + n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83922960"/>
        <c:crosses val="autoZero"/>
        <c:auto val="1"/>
        <c:lblAlgn val="ctr"/>
        <c:lblOffset val="100"/>
        <c:noMultiLvlLbl val="0"/>
      </c:catAx>
      <c:valAx>
        <c:axId val="10839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Speedup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41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</a:t>
            </a:r>
            <a:r>
              <a:rPr lang="es-MX" baseline="0"/>
              <a:t> value vs Average Time (Over 5 runs of code)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 vs Average Time'!$A$16</c:f>
              <c:strCache>
                <c:ptCount val="1"/>
                <c:pt idx="0">
                  <c:v>10000000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Time'!$B$16:$G$16</c:f>
              <c:numCache>
                <c:formatCode>General</c:formatCode>
                <c:ptCount val="6"/>
                <c:pt idx="0">
                  <c:v>4.3586000000000009</c:v>
                </c:pt>
                <c:pt idx="1">
                  <c:v>2.1482000000000001</c:v>
                </c:pt>
                <c:pt idx="2">
                  <c:v>1.153</c:v>
                </c:pt>
                <c:pt idx="3">
                  <c:v>0.81799999999999995</c:v>
                </c:pt>
                <c:pt idx="4">
                  <c:v>0.75519999999999998</c:v>
                </c:pt>
                <c:pt idx="5">
                  <c:v>0.67199999999999993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4-4A5F-8796-E381CADE32E0}"/>
            </c:ext>
          </c:extLst>
        </c:ser>
        <c:ser>
          <c:idx val="1"/>
          <c:order val="1"/>
          <c:tx>
            <c:strRef>
              <c:f>'n vs Average Time'!$A$17</c:f>
              <c:strCache>
                <c:ptCount val="1"/>
                <c:pt idx="0">
                  <c:v>20000000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Time'!$B$17:$G$17</c:f>
              <c:numCache>
                <c:formatCode>General</c:formatCode>
                <c:ptCount val="6"/>
                <c:pt idx="0">
                  <c:v>11.4918</c:v>
                </c:pt>
                <c:pt idx="1">
                  <c:v>6.2016</c:v>
                </c:pt>
                <c:pt idx="2">
                  <c:v>2.9943999999999997</c:v>
                </c:pt>
                <c:pt idx="3">
                  <c:v>2.1876000000000002</c:v>
                </c:pt>
                <c:pt idx="4">
                  <c:v>1.8646</c:v>
                </c:pt>
                <c:pt idx="5">
                  <c:v>1.764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74-4A5F-8796-E381CADE32E0}"/>
            </c:ext>
          </c:extLst>
        </c:ser>
        <c:ser>
          <c:idx val="2"/>
          <c:order val="2"/>
          <c:tx>
            <c:strRef>
              <c:f>'n vs Average Time'!$A$18</c:f>
              <c:strCache>
                <c:ptCount val="1"/>
                <c:pt idx="0">
                  <c:v>50000000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Time'!$B$18:$G$18</c:f>
              <c:numCache>
                <c:formatCode>General</c:formatCode>
                <c:ptCount val="6"/>
                <c:pt idx="0">
                  <c:v>44.321399999999997</c:v>
                </c:pt>
                <c:pt idx="1">
                  <c:v>24.647399999999998</c:v>
                </c:pt>
                <c:pt idx="2">
                  <c:v>12.000400000000001</c:v>
                </c:pt>
                <c:pt idx="3">
                  <c:v>8.6828000000000003</c:v>
                </c:pt>
                <c:pt idx="4">
                  <c:v>7.3448000000000011</c:v>
                </c:pt>
                <c:pt idx="5">
                  <c:v>6.6742000000000008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74-4A5F-8796-E381CADE32E0}"/>
            </c:ext>
          </c:extLst>
        </c:ser>
        <c:ser>
          <c:idx val="3"/>
          <c:order val="3"/>
          <c:tx>
            <c:strRef>
              <c:f>'n vs Average Time'!$A$19</c:f>
              <c:strCache>
                <c:ptCount val="1"/>
                <c:pt idx="0">
                  <c:v>100000000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'n vs Average Time'!$B$15:$G$15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</c:numCache>
            </c:numRef>
          </c:cat>
          <c:val>
            <c:numRef>
              <c:f>'n vs Average Time'!$B$19:$G$19</c:f>
              <c:numCache>
                <c:formatCode>General</c:formatCode>
                <c:ptCount val="6"/>
                <c:pt idx="0">
                  <c:v>120.76400000000001</c:v>
                </c:pt>
                <c:pt idx="1">
                  <c:v>77.212000000000003</c:v>
                </c:pt>
                <c:pt idx="2">
                  <c:v>42.622</c:v>
                </c:pt>
                <c:pt idx="3">
                  <c:v>24.631799999999998</c:v>
                </c:pt>
                <c:pt idx="4">
                  <c:v>19.633800000000001</c:v>
                </c:pt>
                <c:pt idx="5">
                  <c:v>18.462399999999995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74-4A5F-8796-E381CADE3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488447"/>
        <c:axId val="1131311247"/>
      </c:barChart>
      <c:catAx>
        <c:axId val="117048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31311247"/>
        <c:crosses val="autoZero"/>
        <c:auto val="1"/>
        <c:lblAlgn val="ctr"/>
        <c:lblOffset val="100"/>
        <c:noMultiLvlLbl val="0"/>
      </c:catAx>
      <c:valAx>
        <c:axId val="113131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Average</a:t>
                </a:r>
                <a:r>
                  <a:rPr lang="es-MX" baseline="0"/>
                  <a:t> Time (seconds)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704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 vs Average Time (Over 5 runs of code)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'OpenMP vs Serial'!$A$13</c:f>
              <c:strCache>
                <c:ptCount val="1"/>
                <c:pt idx="0">
                  <c:v>10000000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'OpenMP vs Serial'!$B$12:$H$12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  <c:pt idx="6">
                  <c:v>serial</c:v>
                </c:pt>
              </c:strCache>
            </c:strRef>
          </c:cat>
          <c:val>
            <c:numRef>
              <c:f>'OpenMP vs Serial'!$B$13:$H$13</c:f>
              <c:numCache>
                <c:formatCode>General</c:formatCode>
                <c:ptCount val="7"/>
                <c:pt idx="0">
                  <c:v>4.3586000000000009</c:v>
                </c:pt>
                <c:pt idx="1">
                  <c:v>2.1482000000000001</c:v>
                </c:pt>
                <c:pt idx="2">
                  <c:v>1.153</c:v>
                </c:pt>
                <c:pt idx="3">
                  <c:v>0.81799999999999995</c:v>
                </c:pt>
                <c:pt idx="4">
                  <c:v>0.75519999999999998</c:v>
                </c:pt>
                <c:pt idx="5">
                  <c:v>0.67199999999999993</c:v>
                </c:pt>
                <c:pt idx="6">
                  <c:v>8.9615999999999989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4-43BC-ACF2-7E6DFBCD7D16}"/>
            </c:ext>
          </c:extLst>
        </c:ser>
        <c:ser>
          <c:idx val="1"/>
          <c:order val="1"/>
          <c:tx>
            <c:strRef>
              <c:f>'OpenMP vs Serial'!$A$14</c:f>
              <c:strCache>
                <c:ptCount val="1"/>
                <c:pt idx="0">
                  <c:v>20000000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'OpenMP vs Serial'!$B$12:$H$12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  <c:pt idx="6">
                  <c:v>serial</c:v>
                </c:pt>
              </c:strCache>
            </c:strRef>
          </c:cat>
          <c:val>
            <c:numRef>
              <c:f>'OpenMP vs Serial'!$B$14:$H$14</c:f>
              <c:numCache>
                <c:formatCode>General</c:formatCode>
                <c:ptCount val="7"/>
                <c:pt idx="0">
                  <c:v>11.4918</c:v>
                </c:pt>
                <c:pt idx="1">
                  <c:v>6.2016</c:v>
                </c:pt>
                <c:pt idx="2">
                  <c:v>2.9943999999999997</c:v>
                </c:pt>
                <c:pt idx="3">
                  <c:v>2.1876000000000002</c:v>
                </c:pt>
                <c:pt idx="4">
                  <c:v>1.8646</c:v>
                </c:pt>
                <c:pt idx="5">
                  <c:v>1.764</c:v>
                </c:pt>
                <c:pt idx="6">
                  <c:v>25.155999999999999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4-43BC-ACF2-7E6DFBCD7D16}"/>
            </c:ext>
          </c:extLst>
        </c:ser>
        <c:ser>
          <c:idx val="2"/>
          <c:order val="2"/>
          <c:tx>
            <c:strRef>
              <c:f>'OpenMP vs Serial'!$A$15</c:f>
              <c:strCache>
                <c:ptCount val="1"/>
                <c:pt idx="0">
                  <c:v>50000000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'OpenMP vs Serial'!$B$12:$H$12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  <c:pt idx="6">
                  <c:v>serial</c:v>
                </c:pt>
              </c:strCache>
            </c:strRef>
          </c:cat>
          <c:val>
            <c:numRef>
              <c:f>'OpenMP vs Serial'!$B$15:$H$15</c:f>
              <c:numCache>
                <c:formatCode>General</c:formatCode>
                <c:ptCount val="7"/>
                <c:pt idx="0">
                  <c:v>44.321399999999997</c:v>
                </c:pt>
                <c:pt idx="1">
                  <c:v>24.647399999999998</c:v>
                </c:pt>
                <c:pt idx="2">
                  <c:v>12.000400000000001</c:v>
                </c:pt>
                <c:pt idx="3">
                  <c:v>8.6828000000000003</c:v>
                </c:pt>
                <c:pt idx="4">
                  <c:v>7.3448000000000011</c:v>
                </c:pt>
                <c:pt idx="5">
                  <c:v>6.6742000000000008</c:v>
                </c:pt>
                <c:pt idx="6">
                  <c:v>88.580000000000013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4-43BC-ACF2-7E6DFBCD7D16}"/>
            </c:ext>
          </c:extLst>
        </c:ser>
        <c:ser>
          <c:idx val="3"/>
          <c:order val="3"/>
          <c:tx>
            <c:strRef>
              <c:f>'OpenMP vs Serial'!$A$16</c:f>
              <c:strCache>
                <c:ptCount val="1"/>
                <c:pt idx="0">
                  <c:v>100000000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'OpenMP vs Serial'!$B$12:$H$12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16</c:v>
                </c:pt>
                <c:pt idx="6">
                  <c:v>serial</c:v>
                </c:pt>
              </c:strCache>
            </c:strRef>
          </c:cat>
          <c:val>
            <c:numRef>
              <c:f>'OpenMP vs Serial'!$B$16:$H$16</c:f>
              <c:numCache>
                <c:formatCode>General</c:formatCode>
                <c:ptCount val="7"/>
                <c:pt idx="0">
                  <c:v>120.76400000000001</c:v>
                </c:pt>
                <c:pt idx="1">
                  <c:v>77.212000000000003</c:v>
                </c:pt>
                <c:pt idx="2">
                  <c:v>42.622</c:v>
                </c:pt>
                <c:pt idx="3">
                  <c:v>24.631799999999998</c:v>
                </c:pt>
                <c:pt idx="4">
                  <c:v>19.633800000000001</c:v>
                </c:pt>
                <c:pt idx="5">
                  <c:v>18.462399999999995</c:v>
                </c:pt>
                <c:pt idx="6">
                  <c:v>231.78280000000001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B4-43BC-ACF2-7E6DFBCD7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1319120"/>
        <c:axId val="497408944"/>
      </c:barChart>
      <c:catAx>
        <c:axId val="61131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Threads</a:t>
                </a:r>
                <a:r>
                  <a:rPr lang="es-MX" baseline="0"/>
                  <a:t> Utilised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7408944"/>
        <c:crosses val="autoZero"/>
        <c:auto val="1"/>
        <c:lblAlgn val="ctr"/>
        <c:lblOffset val="100"/>
        <c:noMultiLvlLbl val="0"/>
      </c:catAx>
      <c:valAx>
        <c:axId val="4974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1131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</a:t>
            </a:r>
            <a:r>
              <a:rPr lang="es-MX" baseline="0"/>
              <a:t> value vs Runtime for OpenMP and POSIX implementations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Sheet5!$G$1</c:f>
              <c:strCache>
                <c:ptCount val="1"/>
                <c:pt idx="0">
                  <c:v>OpenMP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Sheet5!$F$2:$F$40</c:f>
              <c:numCache>
                <c:formatCode>General</c:formatCode>
                <c:ptCount val="39"/>
                <c:pt idx="0">
                  <c:v>10000000</c:v>
                </c:pt>
                <c:pt idx="1">
                  <c:v>15000000</c:v>
                </c:pt>
                <c:pt idx="2">
                  <c:v>20000000</c:v>
                </c:pt>
                <c:pt idx="3">
                  <c:v>25000000</c:v>
                </c:pt>
                <c:pt idx="4">
                  <c:v>30000000</c:v>
                </c:pt>
                <c:pt idx="5">
                  <c:v>35000000</c:v>
                </c:pt>
                <c:pt idx="6">
                  <c:v>40000000</c:v>
                </c:pt>
                <c:pt idx="7">
                  <c:v>45000000</c:v>
                </c:pt>
                <c:pt idx="8">
                  <c:v>50000000</c:v>
                </c:pt>
                <c:pt idx="9">
                  <c:v>55000000</c:v>
                </c:pt>
                <c:pt idx="10">
                  <c:v>60000000</c:v>
                </c:pt>
                <c:pt idx="11">
                  <c:v>65000000</c:v>
                </c:pt>
                <c:pt idx="12">
                  <c:v>70000000</c:v>
                </c:pt>
                <c:pt idx="13">
                  <c:v>75000000</c:v>
                </c:pt>
                <c:pt idx="14">
                  <c:v>80000000</c:v>
                </c:pt>
                <c:pt idx="15">
                  <c:v>85000000</c:v>
                </c:pt>
                <c:pt idx="16">
                  <c:v>90000000</c:v>
                </c:pt>
                <c:pt idx="17">
                  <c:v>95000000</c:v>
                </c:pt>
                <c:pt idx="18">
                  <c:v>100000000</c:v>
                </c:pt>
                <c:pt idx="19">
                  <c:v>105000000</c:v>
                </c:pt>
                <c:pt idx="20">
                  <c:v>110000000</c:v>
                </c:pt>
                <c:pt idx="21">
                  <c:v>115000000</c:v>
                </c:pt>
                <c:pt idx="22">
                  <c:v>120000000</c:v>
                </c:pt>
                <c:pt idx="23">
                  <c:v>125000000</c:v>
                </c:pt>
                <c:pt idx="24">
                  <c:v>130000000</c:v>
                </c:pt>
                <c:pt idx="25">
                  <c:v>135000000</c:v>
                </c:pt>
                <c:pt idx="26">
                  <c:v>140000000</c:v>
                </c:pt>
                <c:pt idx="27">
                  <c:v>145000000</c:v>
                </c:pt>
                <c:pt idx="28">
                  <c:v>150000000</c:v>
                </c:pt>
                <c:pt idx="29">
                  <c:v>155000000</c:v>
                </c:pt>
                <c:pt idx="30">
                  <c:v>160000000</c:v>
                </c:pt>
                <c:pt idx="31">
                  <c:v>165000000</c:v>
                </c:pt>
                <c:pt idx="32">
                  <c:v>170000000</c:v>
                </c:pt>
                <c:pt idx="33">
                  <c:v>175000000</c:v>
                </c:pt>
                <c:pt idx="34">
                  <c:v>180000000</c:v>
                </c:pt>
                <c:pt idx="35">
                  <c:v>185000000</c:v>
                </c:pt>
                <c:pt idx="36">
                  <c:v>190000000</c:v>
                </c:pt>
                <c:pt idx="37">
                  <c:v>195000000</c:v>
                </c:pt>
                <c:pt idx="38">
                  <c:v>200000000</c:v>
                </c:pt>
              </c:numCache>
            </c:numRef>
          </c:cat>
          <c:val>
            <c:numRef>
              <c:f>Sheet5!$G$2:$G$40</c:f>
              <c:numCache>
                <c:formatCode>General</c:formatCode>
                <c:ptCount val="39"/>
                <c:pt idx="0">
                  <c:v>0.61199999999999999</c:v>
                </c:pt>
                <c:pt idx="1">
                  <c:v>1.0569999999999999</c:v>
                </c:pt>
                <c:pt idx="2">
                  <c:v>1.5409999999999999</c:v>
                </c:pt>
                <c:pt idx="3">
                  <c:v>2.0979999999999999</c:v>
                </c:pt>
                <c:pt idx="4">
                  <c:v>2.8450000000000002</c:v>
                </c:pt>
                <c:pt idx="5">
                  <c:v>3.4239999999999999</c:v>
                </c:pt>
                <c:pt idx="6">
                  <c:v>4.3209999999999997</c:v>
                </c:pt>
                <c:pt idx="7">
                  <c:v>5.9690000000000003</c:v>
                </c:pt>
                <c:pt idx="8">
                  <c:v>8.0730000000000004</c:v>
                </c:pt>
                <c:pt idx="9">
                  <c:v>8.6479999999999997</c:v>
                </c:pt>
                <c:pt idx="10">
                  <c:v>9.5190000000000001</c:v>
                </c:pt>
                <c:pt idx="11">
                  <c:v>9.9529999999999994</c:v>
                </c:pt>
                <c:pt idx="12">
                  <c:v>11.127000000000001</c:v>
                </c:pt>
                <c:pt idx="13">
                  <c:v>12.686</c:v>
                </c:pt>
                <c:pt idx="14">
                  <c:v>13.398999999999999</c:v>
                </c:pt>
                <c:pt idx="15">
                  <c:v>14.74</c:v>
                </c:pt>
                <c:pt idx="16">
                  <c:v>15.725</c:v>
                </c:pt>
                <c:pt idx="17">
                  <c:v>15.848000000000001</c:v>
                </c:pt>
                <c:pt idx="18">
                  <c:v>17.047999999999998</c:v>
                </c:pt>
                <c:pt idx="19">
                  <c:v>19.753</c:v>
                </c:pt>
                <c:pt idx="20">
                  <c:v>22.457999999999998</c:v>
                </c:pt>
                <c:pt idx="21">
                  <c:v>24.315000000000001</c:v>
                </c:pt>
                <c:pt idx="22">
                  <c:v>23.919</c:v>
                </c:pt>
                <c:pt idx="23">
                  <c:v>25.841999999999999</c:v>
                </c:pt>
                <c:pt idx="24">
                  <c:v>28.629000000000001</c:v>
                </c:pt>
                <c:pt idx="25">
                  <c:v>28.564</c:v>
                </c:pt>
                <c:pt idx="26">
                  <c:v>28.489000000000001</c:v>
                </c:pt>
                <c:pt idx="27">
                  <c:v>31.704999999999998</c:v>
                </c:pt>
                <c:pt idx="28">
                  <c:v>33.576000000000001</c:v>
                </c:pt>
                <c:pt idx="29">
                  <c:v>36.679000000000002</c:v>
                </c:pt>
                <c:pt idx="30">
                  <c:v>35.526000000000003</c:v>
                </c:pt>
                <c:pt idx="31">
                  <c:v>38.374000000000002</c:v>
                </c:pt>
                <c:pt idx="32">
                  <c:v>43.917000000000002</c:v>
                </c:pt>
                <c:pt idx="33">
                  <c:v>42.796999999999997</c:v>
                </c:pt>
                <c:pt idx="34">
                  <c:v>45.875</c:v>
                </c:pt>
                <c:pt idx="35">
                  <c:v>49.539000000000001</c:v>
                </c:pt>
                <c:pt idx="36">
                  <c:v>48.234000000000002</c:v>
                </c:pt>
                <c:pt idx="37">
                  <c:v>56.164999999999999</c:v>
                </c:pt>
                <c:pt idx="38">
                  <c:v>62.033999999999999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69-4388-8F93-39F061DB1DD3}"/>
            </c:ext>
          </c:extLst>
        </c:ser>
        <c:ser>
          <c:idx val="1"/>
          <c:order val="1"/>
          <c:tx>
            <c:strRef>
              <c:f>Sheet5!$H$1</c:f>
              <c:strCache>
                <c:ptCount val="1"/>
                <c:pt idx="0">
                  <c:v>POSIX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Sheet5!$F$2:$F$40</c:f>
              <c:numCache>
                <c:formatCode>General</c:formatCode>
                <c:ptCount val="39"/>
                <c:pt idx="0">
                  <c:v>10000000</c:v>
                </c:pt>
                <c:pt idx="1">
                  <c:v>15000000</c:v>
                </c:pt>
                <c:pt idx="2">
                  <c:v>20000000</c:v>
                </c:pt>
                <c:pt idx="3">
                  <c:v>25000000</c:v>
                </c:pt>
                <c:pt idx="4">
                  <c:v>30000000</c:v>
                </c:pt>
                <c:pt idx="5">
                  <c:v>35000000</c:v>
                </c:pt>
                <c:pt idx="6">
                  <c:v>40000000</c:v>
                </c:pt>
                <c:pt idx="7">
                  <c:v>45000000</c:v>
                </c:pt>
                <c:pt idx="8">
                  <c:v>50000000</c:v>
                </c:pt>
                <c:pt idx="9">
                  <c:v>55000000</c:v>
                </c:pt>
                <c:pt idx="10">
                  <c:v>60000000</c:v>
                </c:pt>
                <c:pt idx="11">
                  <c:v>65000000</c:v>
                </c:pt>
                <c:pt idx="12">
                  <c:v>70000000</c:v>
                </c:pt>
                <c:pt idx="13">
                  <c:v>75000000</c:v>
                </c:pt>
                <c:pt idx="14">
                  <c:v>80000000</c:v>
                </c:pt>
                <c:pt idx="15">
                  <c:v>85000000</c:v>
                </c:pt>
                <c:pt idx="16">
                  <c:v>90000000</c:v>
                </c:pt>
                <c:pt idx="17">
                  <c:v>95000000</c:v>
                </c:pt>
                <c:pt idx="18">
                  <c:v>100000000</c:v>
                </c:pt>
                <c:pt idx="19">
                  <c:v>105000000</c:v>
                </c:pt>
                <c:pt idx="20">
                  <c:v>110000000</c:v>
                </c:pt>
                <c:pt idx="21">
                  <c:v>115000000</c:v>
                </c:pt>
                <c:pt idx="22">
                  <c:v>120000000</c:v>
                </c:pt>
                <c:pt idx="23">
                  <c:v>125000000</c:v>
                </c:pt>
                <c:pt idx="24">
                  <c:v>130000000</c:v>
                </c:pt>
                <c:pt idx="25">
                  <c:v>135000000</c:v>
                </c:pt>
                <c:pt idx="26">
                  <c:v>140000000</c:v>
                </c:pt>
                <c:pt idx="27">
                  <c:v>145000000</c:v>
                </c:pt>
                <c:pt idx="28">
                  <c:v>150000000</c:v>
                </c:pt>
                <c:pt idx="29">
                  <c:v>155000000</c:v>
                </c:pt>
                <c:pt idx="30">
                  <c:v>160000000</c:v>
                </c:pt>
                <c:pt idx="31">
                  <c:v>165000000</c:v>
                </c:pt>
                <c:pt idx="32">
                  <c:v>170000000</c:v>
                </c:pt>
                <c:pt idx="33">
                  <c:v>175000000</c:v>
                </c:pt>
                <c:pt idx="34">
                  <c:v>180000000</c:v>
                </c:pt>
                <c:pt idx="35">
                  <c:v>185000000</c:v>
                </c:pt>
                <c:pt idx="36">
                  <c:v>190000000</c:v>
                </c:pt>
                <c:pt idx="37">
                  <c:v>195000000</c:v>
                </c:pt>
                <c:pt idx="38">
                  <c:v>200000000</c:v>
                </c:pt>
              </c:numCache>
            </c:numRef>
          </c:cat>
          <c:val>
            <c:numRef>
              <c:f>Sheet5!$H$2:$H$40</c:f>
              <c:numCache>
                <c:formatCode>General</c:formatCode>
                <c:ptCount val="39"/>
                <c:pt idx="0">
                  <c:v>3.122439</c:v>
                </c:pt>
                <c:pt idx="1">
                  <c:v>5.5079390000000004</c:v>
                </c:pt>
                <c:pt idx="2">
                  <c:v>8.9404459999999997</c:v>
                </c:pt>
                <c:pt idx="3">
                  <c:v>12.018957</c:v>
                </c:pt>
                <c:pt idx="4">
                  <c:v>15.344973</c:v>
                </c:pt>
                <c:pt idx="5">
                  <c:v>18.010586</c:v>
                </c:pt>
                <c:pt idx="6">
                  <c:v>20.931664000000001</c:v>
                </c:pt>
                <c:pt idx="7">
                  <c:v>26.676121999999999</c:v>
                </c:pt>
                <c:pt idx="8">
                  <c:v>29.201584</c:v>
                </c:pt>
                <c:pt idx="9">
                  <c:v>32.929178999999998</c:v>
                </c:pt>
                <c:pt idx="10">
                  <c:v>38.565423000000003</c:v>
                </c:pt>
                <c:pt idx="11">
                  <c:v>50.777777999999998</c:v>
                </c:pt>
                <c:pt idx="12">
                  <c:v>63.340834000000001</c:v>
                </c:pt>
                <c:pt idx="13">
                  <c:v>69.109358999999998</c:v>
                </c:pt>
                <c:pt idx="14">
                  <c:v>75.068881000000005</c:v>
                </c:pt>
                <c:pt idx="15">
                  <c:v>86.416640999999998</c:v>
                </c:pt>
                <c:pt idx="16">
                  <c:v>82.332379000000003</c:v>
                </c:pt>
                <c:pt idx="17">
                  <c:v>98.141268999999994</c:v>
                </c:pt>
                <c:pt idx="18">
                  <c:v>107.240549</c:v>
                </c:pt>
                <c:pt idx="19">
                  <c:v>105.37048</c:v>
                </c:pt>
                <c:pt idx="20">
                  <c:v>126.428952</c:v>
                </c:pt>
                <c:pt idx="21">
                  <c:v>131.21434300000001</c:v>
                </c:pt>
                <c:pt idx="22">
                  <c:v>136.99463299999999</c:v>
                </c:pt>
                <c:pt idx="23">
                  <c:v>152.49593300000001</c:v>
                </c:pt>
                <c:pt idx="24">
                  <c:v>159.67055500000001</c:v>
                </c:pt>
                <c:pt idx="25">
                  <c:v>166.96337800000001</c:v>
                </c:pt>
                <c:pt idx="26">
                  <c:v>153.16600500000001</c:v>
                </c:pt>
                <c:pt idx="27">
                  <c:v>202.24257299999999</c:v>
                </c:pt>
                <c:pt idx="28">
                  <c:v>197.665719</c:v>
                </c:pt>
                <c:pt idx="29">
                  <c:v>178.110602</c:v>
                </c:pt>
                <c:pt idx="30">
                  <c:v>171.97265100000001</c:v>
                </c:pt>
                <c:pt idx="31">
                  <c:v>225.55224100000001</c:v>
                </c:pt>
                <c:pt idx="32">
                  <c:v>244.509726</c:v>
                </c:pt>
                <c:pt idx="33">
                  <c:v>251.22929500000001</c:v>
                </c:pt>
                <c:pt idx="34">
                  <c:v>248.96807799999999</c:v>
                </c:pt>
                <c:pt idx="35">
                  <c:v>259.259837</c:v>
                </c:pt>
                <c:pt idx="36">
                  <c:v>282.74265600000001</c:v>
                </c:pt>
                <c:pt idx="37">
                  <c:v>293.19705800000003</c:v>
                </c:pt>
                <c:pt idx="38">
                  <c:v>292.25776200000001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69-4388-8F93-39F061DB1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4948272"/>
        <c:axId val="1234069840"/>
      </c:lineChart>
      <c:catAx>
        <c:axId val="1534948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234069840"/>
        <c:crosses val="autoZero"/>
        <c:auto val="1"/>
        <c:lblAlgn val="ctr"/>
        <c:lblOffset val="100"/>
        <c:noMultiLvlLbl val="0"/>
      </c:catAx>
      <c:valAx>
        <c:axId val="123406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3494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98535</xdr:colOff>
      <xdr:row>9</xdr:row>
      <xdr:rowOff>44012</xdr:rowOff>
    </xdr:from>
    <xdr:to>
      <xdr:col>16</xdr:col>
      <xdr:colOff>170793</xdr:colOff>
      <xdr:row>24</xdr:row>
      <xdr:rowOff>39414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BA6C89-3990-E7BA-790A-072EDB712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501098</xdr:colOff>
      <xdr:row>24</xdr:row>
      <xdr:rowOff>86139</xdr:rowOff>
    </xdr:from>
    <xdr:to>
      <xdr:col>19</xdr:col>
      <xdr:colOff>169793</xdr:colOff>
      <xdr:row>37</xdr:row>
      <xdr:rowOff>162339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B52308-3430-6C97-7D0E-CA863D8E3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547686</xdr:colOff>
      <xdr:row>12</xdr:row>
      <xdr:rowOff>90488</xdr:rowOff>
    </xdr:from>
    <xdr:to>
      <xdr:col>21</xdr:col>
      <xdr:colOff>228600</xdr:colOff>
      <xdr:row>33</xdr:row>
      <xdr:rowOff>161926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BB2DE0-DEB7-180B-2852-F91878E94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568595</xdr:colOff>
      <xdr:row>10</xdr:row>
      <xdr:rowOff>13590</xdr:rowOff>
    </xdr:from>
    <xdr:to>
      <xdr:col>17</xdr:col>
      <xdr:colOff>28348</xdr:colOff>
      <xdr:row>26</xdr:row>
      <xdr:rowOff>51027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8F852A-D8C2-6AEA-1D96-58CEDEF8D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472109</xdr:colOff>
      <xdr:row>16</xdr:row>
      <xdr:rowOff>119270</xdr:rowOff>
    </xdr:from>
    <xdr:to>
      <xdr:col>12</xdr:col>
      <xdr:colOff>902804</xdr:colOff>
      <xdr:row>31</xdr:row>
      <xdr:rowOff>4970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46CF8E-97C8-ED87-6DC8-7362082AA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Tong" refreshedDate="46249.902588541663" createdVersion="8" refreshedVersion="8" minRefreshableVersion="3" recordCount="24" xr:uid="{43DEABB4-AB3F-4997-AF95-83D345D73153}">
  <cacheSource type="worksheet">
    <worksheetSource ref="G1:J25" sheet="timing_log_task3"/>
  </cacheSource>
  <cacheFields count="4">
    <cacheField name="n" numFmtId="0">
      <sharedItems containsSemiMixedTypes="0" containsString="0" containsNumber="1" containsInteger="1" minValue="10000000" maxValue="100000000" count="4">
        <n v="10000000"/>
        <n v="20000000"/>
        <n v="50000000"/>
        <n v="100000000"/>
      </sharedItems>
    </cacheField>
    <cacheField name="threads" numFmtId="0">
      <sharedItems containsSemiMixedTypes="0" containsString="0" containsNumber="1" containsInteger="1" minValue="1" maxValue="16" count="6">
        <n v="1"/>
        <n v="2"/>
        <n v="4"/>
        <n v="6"/>
        <n v="8"/>
        <n v="16"/>
      </sharedItems>
    </cacheField>
    <cacheField name="average_time" numFmtId="0">
      <sharedItems containsSemiMixedTypes="0" containsString="0" containsNumber="1" minValue="0.67199999999999993" maxValue="120.76400000000001"/>
    </cacheField>
    <cacheField name="speedup" numFmtId="0">
      <sharedItems containsSemiMixedTypes="0" containsString="0" containsNumber="1" minValue="1" maxValue="6.64070600221749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Tong" refreshedDate="46250.595737615738" createdVersion="8" refreshedVersion="8" minRefreshableVersion="3" recordCount="28" xr:uid="{F7C5199D-1598-4563-B1E2-BCEAAD3B676E}">
  <cacheSource type="worksheet">
    <worksheetSource ref="G1:K29" sheet="timing_log_task3"/>
  </cacheSource>
  <cacheFields count="5">
    <cacheField name="n" numFmtId="0">
      <sharedItems containsSemiMixedTypes="0" containsString="0" containsNumber="1" containsInteger="1" minValue="10000000" maxValue="100000000" count="4">
        <n v="10000000"/>
        <n v="20000000"/>
        <n v="50000000"/>
        <n v="100000000"/>
      </sharedItems>
    </cacheField>
    <cacheField name="threads" numFmtId="0">
      <sharedItems containsString="0" containsBlank="1" containsNumber="1" containsInteger="1" minValue="1" maxValue="16" count="7">
        <n v="1"/>
        <n v="2"/>
        <n v="4"/>
        <n v="6"/>
        <n v="8"/>
        <n v="16"/>
        <m/>
      </sharedItems>
    </cacheField>
    <cacheField name="average_time" numFmtId="0">
      <sharedItems containsSemiMixedTypes="0" containsString="0" containsNumber="1" minValue="0.67199999999999993" maxValue="231.78280000000001"/>
    </cacheField>
    <cacheField name="speedup" numFmtId="0">
      <sharedItems containsString="0" containsBlank="1" containsNumber="1" minValue="1" maxValue="6.6407060022174926"/>
    </cacheField>
    <cacheField name="implementation" numFmtId="0">
      <sharedItems count="2">
        <s v="openmp"/>
        <s v="seri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rence Tong" refreshedDate="46251.493271412037" createdVersion="8" refreshedVersion="8" minRefreshableVersion="3" recordCount="78" xr:uid="{276FB982-6F46-464D-9E20-03AC69323540}">
  <cacheSource type="worksheet">
    <worksheetSource ref="A1:C79" sheet="t2 vs t3"/>
  </cacheSource>
  <cacheFields count="3">
    <cacheField name="Algorithm" numFmtId="0">
      <sharedItems count="2">
        <s v="POSIX"/>
        <s v="OpenMP"/>
      </sharedItems>
    </cacheField>
    <cacheField name="n" numFmtId="0">
      <sharedItems containsSemiMixedTypes="0" containsString="0" containsNumber="1" containsInteger="1" minValue="10000000" maxValue="200000000" count="39">
        <n v="10000000"/>
        <n v="15000000"/>
        <n v="20000000"/>
        <n v="25000000"/>
        <n v="30000000"/>
        <n v="35000000"/>
        <n v="40000000"/>
        <n v="45000000"/>
        <n v="50000000"/>
        <n v="55000000"/>
        <n v="60000000"/>
        <n v="65000000"/>
        <n v="70000000"/>
        <n v="75000000"/>
        <n v="80000000"/>
        <n v="85000000"/>
        <n v="90000000"/>
        <n v="95000000"/>
        <n v="100000000"/>
        <n v="105000000"/>
        <n v="110000000"/>
        <n v="115000000"/>
        <n v="120000000"/>
        <n v="125000000"/>
        <n v="130000000"/>
        <n v="135000000"/>
        <n v="140000000"/>
        <n v="145000000"/>
        <n v="150000000"/>
        <n v="155000000"/>
        <n v="160000000"/>
        <n v="165000000"/>
        <n v="170000000"/>
        <n v="175000000"/>
        <n v="180000000"/>
        <n v="185000000"/>
        <n v="190000000"/>
        <n v="195000000"/>
        <n v="200000000"/>
      </sharedItems>
    </cacheField>
    <cacheField name="Time" numFmtId="0">
      <sharedItems containsSemiMixedTypes="0" containsString="0" containsNumber="1" minValue="0.61199999999999999" maxValue="293.197058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4.3586000000000009"/>
    <n v="1"/>
  </r>
  <r>
    <x v="0"/>
    <x v="1"/>
    <n v="2.1482000000000001"/>
    <n v="2.0289544735127087"/>
  </r>
  <r>
    <x v="0"/>
    <x v="2"/>
    <n v="1.153"/>
    <n v="3.7802254986990467"/>
  </r>
  <r>
    <x v="0"/>
    <x v="3"/>
    <n v="0.81799999999999995"/>
    <n v="5.3283618581907106"/>
  </r>
  <r>
    <x v="0"/>
    <x v="4"/>
    <n v="0.75519999999999998"/>
    <n v="5.7714512711864421"/>
  </r>
  <r>
    <x v="0"/>
    <x v="5"/>
    <n v="0.67199999999999993"/>
    <n v="6.4860119047619067"/>
  </r>
  <r>
    <x v="1"/>
    <x v="0"/>
    <n v="11.4918"/>
    <n v="1"/>
  </r>
  <r>
    <x v="1"/>
    <x v="1"/>
    <n v="6.2016"/>
    <n v="1.8530379256965943"/>
  </r>
  <r>
    <x v="1"/>
    <x v="2"/>
    <n v="2.9943999999999997"/>
    <n v="3.8377638258081754"/>
  </r>
  <r>
    <x v="1"/>
    <x v="3"/>
    <n v="2.1876000000000002"/>
    <n v="5.2531541415249583"/>
  </r>
  <r>
    <x v="1"/>
    <x v="4"/>
    <n v="1.8646"/>
    <n v="6.1631449104365545"/>
  </r>
  <r>
    <x v="1"/>
    <x v="5"/>
    <n v="1.764"/>
    <n v="6.5146258503401357"/>
  </r>
  <r>
    <x v="2"/>
    <x v="0"/>
    <n v="44.321399999999997"/>
    <n v="1"/>
  </r>
  <r>
    <x v="2"/>
    <x v="1"/>
    <n v="24.647399999999998"/>
    <n v="1.7982180676257942"/>
  </r>
  <r>
    <x v="2"/>
    <x v="2"/>
    <n v="12.000400000000001"/>
    <n v="3.6933268891036959"/>
  </r>
  <r>
    <x v="2"/>
    <x v="3"/>
    <n v="8.6828000000000003"/>
    <n v="5.1045054590685028"/>
  </r>
  <r>
    <x v="2"/>
    <x v="4"/>
    <n v="7.3448000000000011"/>
    <n v="6.0343916784663971"/>
  </r>
  <r>
    <x v="2"/>
    <x v="5"/>
    <n v="6.6742000000000008"/>
    <n v="6.6407060022174926"/>
  </r>
  <r>
    <x v="3"/>
    <x v="0"/>
    <n v="120.76400000000001"/>
    <n v="1"/>
  </r>
  <r>
    <x v="3"/>
    <x v="1"/>
    <n v="77.212000000000003"/>
    <n v="1.5640574004040824"/>
  </r>
  <r>
    <x v="3"/>
    <x v="2"/>
    <n v="42.622"/>
    <n v="2.8333724367697437"/>
  </r>
  <r>
    <x v="3"/>
    <x v="3"/>
    <n v="24.631799999999998"/>
    <n v="4.9027679666122665"/>
  </r>
  <r>
    <x v="3"/>
    <x v="4"/>
    <n v="19.633800000000001"/>
    <n v="6.1508215424421158"/>
  </r>
  <r>
    <x v="3"/>
    <x v="5"/>
    <n v="18.462399999999995"/>
    <n v="6.541078083022794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4.3586000000000009"/>
    <n v="1"/>
    <x v="0"/>
  </r>
  <r>
    <x v="0"/>
    <x v="1"/>
    <n v="2.1482000000000001"/>
    <n v="2.0289544735127087"/>
    <x v="0"/>
  </r>
  <r>
    <x v="0"/>
    <x v="2"/>
    <n v="1.153"/>
    <n v="3.7802254986990467"/>
    <x v="0"/>
  </r>
  <r>
    <x v="0"/>
    <x v="3"/>
    <n v="0.81799999999999995"/>
    <n v="5.3283618581907106"/>
    <x v="0"/>
  </r>
  <r>
    <x v="0"/>
    <x v="4"/>
    <n v="0.75519999999999998"/>
    <n v="5.7714512711864421"/>
    <x v="0"/>
  </r>
  <r>
    <x v="0"/>
    <x v="5"/>
    <n v="0.67199999999999993"/>
    <n v="6.4860119047619067"/>
    <x v="0"/>
  </r>
  <r>
    <x v="1"/>
    <x v="0"/>
    <n v="11.4918"/>
    <n v="1"/>
    <x v="0"/>
  </r>
  <r>
    <x v="1"/>
    <x v="1"/>
    <n v="6.2016"/>
    <n v="1.8530379256965943"/>
    <x v="0"/>
  </r>
  <r>
    <x v="1"/>
    <x v="2"/>
    <n v="2.9943999999999997"/>
    <n v="3.8377638258081754"/>
    <x v="0"/>
  </r>
  <r>
    <x v="1"/>
    <x v="3"/>
    <n v="2.1876000000000002"/>
    <n v="5.2531541415249583"/>
    <x v="0"/>
  </r>
  <r>
    <x v="1"/>
    <x v="4"/>
    <n v="1.8646"/>
    <n v="6.1631449104365545"/>
    <x v="0"/>
  </r>
  <r>
    <x v="1"/>
    <x v="5"/>
    <n v="1.764"/>
    <n v="6.5146258503401357"/>
    <x v="0"/>
  </r>
  <r>
    <x v="2"/>
    <x v="0"/>
    <n v="44.321399999999997"/>
    <n v="1"/>
    <x v="0"/>
  </r>
  <r>
    <x v="2"/>
    <x v="1"/>
    <n v="24.647399999999998"/>
    <n v="1.7982180676257942"/>
    <x v="0"/>
  </r>
  <r>
    <x v="2"/>
    <x v="2"/>
    <n v="12.000400000000001"/>
    <n v="3.6933268891036959"/>
    <x v="0"/>
  </r>
  <r>
    <x v="2"/>
    <x v="3"/>
    <n v="8.6828000000000003"/>
    <n v="5.1045054590685028"/>
    <x v="0"/>
  </r>
  <r>
    <x v="2"/>
    <x v="4"/>
    <n v="7.3448000000000011"/>
    <n v="6.0343916784663971"/>
    <x v="0"/>
  </r>
  <r>
    <x v="2"/>
    <x v="5"/>
    <n v="6.6742000000000008"/>
    <n v="6.6407060022174926"/>
    <x v="0"/>
  </r>
  <r>
    <x v="3"/>
    <x v="0"/>
    <n v="120.76400000000001"/>
    <n v="1"/>
    <x v="0"/>
  </r>
  <r>
    <x v="3"/>
    <x v="1"/>
    <n v="77.212000000000003"/>
    <n v="1.5640574004040824"/>
    <x v="0"/>
  </r>
  <r>
    <x v="3"/>
    <x v="2"/>
    <n v="42.622"/>
    <n v="2.8333724367697437"/>
    <x v="0"/>
  </r>
  <r>
    <x v="3"/>
    <x v="3"/>
    <n v="24.631799999999998"/>
    <n v="4.9027679666122665"/>
    <x v="0"/>
  </r>
  <r>
    <x v="3"/>
    <x v="4"/>
    <n v="19.633800000000001"/>
    <n v="6.1508215424421158"/>
    <x v="0"/>
  </r>
  <r>
    <x v="3"/>
    <x v="5"/>
    <n v="18.462399999999995"/>
    <n v="6.5410780830227946"/>
    <x v="0"/>
  </r>
  <r>
    <x v="0"/>
    <x v="6"/>
    <n v="8.9615999999999989"/>
    <m/>
    <x v="1"/>
  </r>
  <r>
    <x v="1"/>
    <x v="6"/>
    <n v="25.155999999999999"/>
    <m/>
    <x v="1"/>
  </r>
  <r>
    <x v="2"/>
    <x v="6"/>
    <n v="88.580000000000013"/>
    <m/>
    <x v="1"/>
  </r>
  <r>
    <x v="3"/>
    <x v="6"/>
    <n v="231.78280000000001"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  <x v="0"/>
    <n v="3.122439"/>
  </r>
  <r>
    <x v="0"/>
    <x v="1"/>
    <n v="5.5079390000000004"/>
  </r>
  <r>
    <x v="0"/>
    <x v="2"/>
    <n v="8.9404459999999997"/>
  </r>
  <r>
    <x v="0"/>
    <x v="3"/>
    <n v="12.018957"/>
  </r>
  <r>
    <x v="0"/>
    <x v="4"/>
    <n v="15.344973"/>
  </r>
  <r>
    <x v="0"/>
    <x v="5"/>
    <n v="18.010586"/>
  </r>
  <r>
    <x v="0"/>
    <x v="6"/>
    <n v="20.931664000000001"/>
  </r>
  <r>
    <x v="0"/>
    <x v="7"/>
    <n v="26.676121999999999"/>
  </r>
  <r>
    <x v="0"/>
    <x v="8"/>
    <n v="29.201584"/>
  </r>
  <r>
    <x v="0"/>
    <x v="9"/>
    <n v="32.929178999999998"/>
  </r>
  <r>
    <x v="0"/>
    <x v="10"/>
    <n v="38.565423000000003"/>
  </r>
  <r>
    <x v="0"/>
    <x v="11"/>
    <n v="50.777777999999998"/>
  </r>
  <r>
    <x v="0"/>
    <x v="12"/>
    <n v="63.340834000000001"/>
  </r>
  <r>
    <x v="0"/>
    <x v="13"/>
    <n v="69.109358999999998"/>
  </r>
  <r>
    <x v="0"/>
    <x v="14"/>
    <n v="75.068881000000005"/>
  </r>
  <r>
    <x v="0"/>
    <x v="15"/>
    <n v="86.416640999999998"/>
  </r>
  <r>
    <x v="0"/>
    <x v="16"/>
    <n v="82.332379000000003"/>
  </r>
  <r>
    <x v="0"/>
    <x v="17"/>
    <n v="98.141268999999994"/>
  </r>
  <r>
    <x v="0"/>
    <x v="18"/>
    <n v="107.240549"/>
  </r>
  <r>
    <x v="0"/>
    <x v="19"/>
    <n v="105.37048"/>
  </r>
  <r>
    <x v="0"/>
    <x v="20"/>
    <n v="126.428952"/>
  </r>
  <r>
    <x v="0"/>
    <x v="21"/>
    <n v="131.21434300000001"/>
  </r>
  <r>
    <x v="0"/>
    <x v="22"/>
    <n v="136.99463299999999"/>
  </r>
  <r>
    <x v="0"/>
    <x v="23"/>
    <n v="152.49593300000001"/>
  </r>
  <r>
    <x v="0"/>
    <x v="24"/>
    <n v="159.67055500000001"/>
  </r>
  <r>
    <x v="0"/>
    <x v="25"/>
    <n v="166.96337800000001"/>
  </r>
  <r>
    <x v="0"/>
    <x v="26"/>
    <n v="153.16600500000001"/>
  </r>
  <r>
    <x v="0"/>
    <x v="27"/>
    <n v="202.24257299999999"/>
  </r>
  <r>
    <x v="0"/>
    <x v="28"/>
    <n v="197.665719"/>
  </r>
  <r>
    <x v="0"/>
    <x v="29"/>
    <n v="178.110602"/>
  </r>
  <r>
    <x v="0"/>
    <x v="30"/>
    <n v="171.97265100000001"/>
  </r>
  <r>
    <x v="0"/>
    <x v="31"/>
    <n v="225.55224100000001"/>
  </r>
  <r>
    <x v="0"/>
    <x v="32"/>
    <n v="244.509726"/>
  </r>
  <r>
    <x v="0"/>
    <x v="33"/>
    <n v="251.22929500000001"/>
  </r>
  <r>
    <x v="0"/>
    <x v="34"/>
    <n v="248.96807799999999"/>
  </r>
  <r>
    <x v="0"/>
    <x v="35"/>
    <n v="259.259837"/>
  </r>
  <r>
    <x v="0"/>
    <x v="36"/>
    <n v="282.74265600000001"/>
  </r>
  <r>
    <x v="0"/>
    <x v="37"/>
    <n v="293.19705800000003"/>
  </r>
  <r>
    <x v="0"/>
    <x v="38"/>
    <n v="292.25776200000001"/>
  </r>
  <r>
    <x v="1"/>
    <x v="0"/>
    <n v="0.61199999999999999"/>
  </r>
  <r>
    <x v="1"/>
    <x v="1"/>
    <n v="1.0569999999999999"/>
  </r>
  <r>
    <x v="1"/>
    <x v="2"/>
    <n v="1.5409999999999999"/>
  </r>
  <r>
    <x v="1"/>
    <x v="3"/>
    <n v="2.0979999999999999"/>
  </r>
  <r>
    <x v="1"/>
    <x v="4"/>
    <n v="2.8450000000000002"/>
  </r>
  <r>
    <x v="1"/>
    <x v="5"/>
    <n v="3.4239999999999999"/>
  </r>
  <r>
    <x v="1"/>
    <x v="6"/>
    <n v="4.3209999999999997"/>
  </r>
  <r>
    <x v="1"/>
    <x v="7"/>
    <n v="5.9690000000000003"/>
  </r>
  <r>
    <x v="1"/>
    <x v="8"/>
    <n v="8.0730000000000004"/>
  </r>
  <r>
    <x v="1"/>
    <x v="9"/>
    <n v="8.6479999999999997"/>
  </r>
  <r>
    <x v="1"/>
    <x v="10"/>
    <n v="9.5190000000000001"/>
  </r>
  <r>
    <x v="1"/>
    <x v="11"/>
    <n v="9.9529999999999994"/>
  </r>
  <r>
    <x v="1"/>
    <x v="12"/>
    <n v="11.127000000000001"/>
  </r>
  <r>
    <x v="1"/>
    <x v="13"/>
    <n v="12.686"/>
  </r>
  <r>
    <x v="1"/>
    <x v="14"/>
    <n v="13.398999999999999"/>
  </r>
  <r>
    <x v="1"/>
    <x v="15"/>
    <n v="14.74"/>
  </r>
  <r>
    <x v="1"/>
    <x v="16"/>
    <n v="15.725"/>
  </r>
  <r>
    <x v="1"/>
    <x v="17"/>
    <n v="15.848000000000001"/>
  </r>
  <r>
    <x v="1"/>
    <x v="18"/>
    <n v="17.047999999999998"/>
  </r>
  <r>
    <x v="1"/>
    <x v="19"/>
    <n v="19.753"/>
  </r>
  <r>
    <x v="1"/>
    <x v="20"/>
    <n v="22.457999999999998"/>
  </r>
  <r>
    <x v="1"/>
    <x v="21"/>
    <n v="24.315000000000001"/>
  </r>
  <r>
    <x v="1"/>
    <x v="22"/>
    <n v="23.919"/>
  </r>
  <r>
    <x v="1"/>
    <x v="23"/>
    <n v="25.841999999999999"/>
  </r>
  <r>
    <x v="1"/>
    <x v="24"/>
    <n v="28.629000000000001"/>
  </r>
  <r>
    <x v="1"/>
    <x v="25"/>
    <n v="28.564"/>
  </r>
  <r>
    <x v="1"/>
    <x v="26"/>
    <n v="28.489000000000001"/>
  </r>
  <r>
    <x v="1"/>
    <x v="27"/>
    <n v="31.704999999999998"/>
  </r>
  <r>
    <x v="1"/>
    <x v="28"/>
    <n v="33.576000000000001"/>
  </r>
  <r>
    <x v="1"/>
    <x v="29"/>
    <n v="36.679000000000002"/>
  </r>
  <r>
    <x v="1"/>
    <x v="30"/>
    <n v="35.526000000000003"/>
  </r>
  <r>
    <x v="1"/>
    <x v="31"/>
    <n v="38.374000000000002"/>
  </r>
  <r>
    <x v="1"/>
    <x v="32"/>
    <n v="43.917000000000002"/>
  </r>
  <r>
    <x v="1"/>
    <x v="33"/>
    <n v="42.796999999999997"/>
  </r>
  <r>
    <x v="1"/>
    <x v="34"/>
    <n v="45.875"/>
  </r>
  <r>
    <x v="1"/>
    <x v="35"/>
    <n v="49.539000000000001"/>
  </r>
  <r>
    <x v="1"/>
    <x v="36"/>
    <n v="48.234000000000002"/>
  </r>
  <r>
    <x v="1"/>
    <x v="37"/>
    <n v="56.164999999999999"/>
  </r>
  <r>
    <x v="1"/>
    <x v="38"/>
    <n v="62.033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F4EE3-DB47-43B5-B80D-39054AB07C6E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peedup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D6E40-6AA1-4CB9-82ED-FFDF81312472}" name="PivotTable2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H9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verage_ti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871E9-0333-4981-89A0-8CE77441B9A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9" firstHeaderRow="1" firstDataRow="2" firstDataCol="1" rowPageCount="1" colPageCount="1"/>
  <pivotFields count="5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4" hier="-1"/>
  </pageFields>
  <dataFields count="1">
    <dataField name="Sum of average_ti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CA81A-84EA-42C9-B587-55DC18A0C2AB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4" firstHeaderRow="1" firstDataRow="2" firstDataCol="1"/>
  <pivotFields count="3">
    <pivotField axis="axisCol" showAll="0">
      <items count="3">
        <item x="1"/>
        <item x="0"/>
        <item t="default"/>
      </items>
    </pivotField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</pivotFields>
  <rowFields count="1"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Ti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21639-D40E-439A-BABD-204386C3F3B4}">
  <dimension ref="A3:J34"/>
  <sheetViews>
    <sheetView tabSelected="1" zoomScale="147" zoomScaleNormal="130" workbookViewId="0">
      <selection activeCell="F30" sqref="A30:F30"/>
    </sheetView>
  </sheetViews>
  <sheetFormatPr defaultRowHeight="15" x14ac:dyDescent="0.25"/>
  <cols>
    <col min="1" max="1" width="15.7109375" bestFit="1" customWidth="1"/>
    <col min="2" max="2" width="16.85546875" bestFit="1" customWidth="1"/>
    <col min="3" max="8" width="12" bestFit="1" customWidth="1"/>
  </cols>
  <sheetData>
    <row r="3" spans="1:8" x14ac:dyDescent="0.25">
      <c r="A3" s="1" t="s">
        <v>6</v>
      </c>
      <c r="B3" s="1" t="s">
        <v>7</v>
      </c>
    </row>
    <row r="4" spans="1:8" x14ac:dyDescent="0.25">
      <c r="A4" s="1" t="s">
        <v>9</v>
      </c>
      <c r="B4">
        <v>1</v>
      </c>
      <c r="C4">
        <v>2</v>
      </c>
      <c r="D4">
        <v>4</v>
      </c>
      <c r="E4">
        <v>6</v>
      </c>
      <c r="F4">
        <v>8</v>
      </c>
      <c r="G4">
        <v>16</v>
      </c>
      <c r="H4" t="s">
        <v>8</v>
      </c>
    </row>
    <row r="5" spans="1:8" x14ac:dyDescent="0.25">
      <c r="A5" s="2">
        <v>10000000</v>
      </c>
      <c r="B5">
        <v>1</v>
      </c>
      <c r="C5">
        <v>2.0289544735127087</v>
      </c>
      <c r="D5">
        <v>3.7802254986990467</v>
      </c>
      <c r="E5">
        <v>5.3283618581907106</v>
      </c>
      <c r="F5">
        <v>5.7714512711864421</v>
      </c>
      <c r="G5">
        <v>6.4860119047619067</v>
      </c>
      <c r="H5">
        <v>24.395005006350814</v>
      </c>
    </row>
    <row r="6" spans="1:8" x14ac:dyDescent="0.25">
      <c r="A6" s="2">
        <v>20000000</v>
      </c>
      <c r="B6">
        <v>1</v>
      </c>
      <c r="C6">
        <v>1.8530379256965943</v>
      </c>
      <c r="D6">
        <v>3.8377638258081754</v>
      </c>
      <c r="E6">
        <v>5.2531541415249583</v>
      </c>
      <c r="F6">
        <v>6.1631449104365545</v>
      </c>
      <c r="G6">
        <v>6.5146258503401357</v>
      </c>
      <c r="H6">
        <v>24.621726653806416</v>
      </c>
    </row>
    <row r="7" spans="1:8" x14ac:dyDescent="0.25">
      <c r="A7" s="2">
        <v>50000000</v>
      </c>
      <c r="B7">
        <v>1</v>
      </c>
      <c r="C7">
        <v>1.7982180676257942</v>
      </c>
      <c r="D7">
        <v>3.6933268891036959</v>
      </c>
      <c r="E7">
        <v>5.1045054590685028</v>
      </c>
      <c r="F7">
        <v>6.0343916784663971</v>
      </c>
      <c r="G7">
        <v>6.6407060022174926</v>
      </c>
      <c r="H7">
        <v>24.27114809648188</v>
      </c>
    </row>
    <row r="8" spans="1:8" x14ac:dyDescent="0.25">
      <c r="A8" s="2">
        <v>100000000</v>
      </c>
      <c r="B8">
        <v>1</v>
      </c>
      <c r="C8">
        <v>1.5640574004040824</v>
      </c>
      <c r="D8">
        <v>2.8333724367697437</v>
      </c>
      <c r="E8">
        <v>4.9027679666122665</v>
      </c>
      <c r="F8">
        <v>6.1508215424421158</v>
      </c>
      <c r="G8">
        <v>6.5410780830227946</v>
      </c>
      <c r="H8">
        <v>22.992097429251004</v>
      </c>
    </row>
    <row r="9" spans="1:8" x14ac:dyDescent="0.25">
      <c r="A9" s="2" t="s">
        <v>8</v>
      </c>
      <c r="B9">
        <v>4</v>
      </c>
      <c r="C9">
        <v>7.2442678672391798</v>
      </c>
      <c r="D9">
        <v>14.144688650380662</v>
      </c>
      <c r="E9">
        <v>20.588789425396438</v>
      </c>
      <c r="F9">
        <v>24.119809402531509</v>
      </c>
      <c r="G9">
        <v>26.182421840342329</v>
      </c>
      <c r="H9">
        <v>96.279977185890118</v>
      </c>
    </row>
    <row r="14" spans="1:8" x14ac:dyDescent="0.25">
      <c r="B14">
        <v>1</v>
      </c>
      <c r="C14">
        <v>2</v>
      </c>
      <c r="D14">
        <v>4</v>
      </c>
      <c r="E14">
        <v>6</v>
      </c>
      <c r="F14">
        <v>8</v>
      </c>
      <c r="G14">
        <v>16</v>
      </c>
    </row>
    <row r="15" spans="1:8" x14ac:dyDescent="0.25">
      <c r="A15">
        <v>10000000</v>
      </c>
      <c r="B15">
        <v>1</v>
      </c>
      <c r="C15">
        <v>2.0289544735127087</v>
      </c>
      <c r="D15">
        <v>3.7802254986990467</v>
      </c>
      <c r="E15">
        <v>5.3283618581907106</v>
      </c>
      <c r="F15">
        <v>5.7714512711864421</v>
      </c>
      <c r="G15">
        <v>6.4860119047619067</v>
      </c>
    </row>
    <row r="16" spans="1:8" x14ac:dyDescent="0.25">
      <c r="A16">
        <v>20000000</v>
      </c>
      <c r="B16">
        <v>1</v>
      </c>
      <c r="C16">
        <v>1.8530379256965943</v>
      </c>
      <c r="D16">
        <v>3.8377638258081754</v>
      </c>
      <c r="E16">
        <v>5.2531541415249583</v>
      </c>
      <c r="F16">
        <v>6.1631449104365545</v>
      </c>
      <c r="G16">
        <v>6.5146258503401357</v>
      </c>
    </row>
    <row r="17" spans="1:10" x14ac:dyDescent="0.25">
      <c r="A17">
        <v>50000000</v>
      </c>
      <c r="B17">
        <v>1</v>
      </c>
      <c r="C17">
        <v>1.7982180676257942</v>
      </c>
      <c r="D17">
        <v>3.6933268891036959</v>
      </c>
      <c r="E17">
        <v>5.1045054590685028</v>
      </c>
      <c r="F17">
        <v>6.0343916784663971</v>
      </c>
      <c r="G17">
        <v>6.6407060022174926</v>
      </c>
    </row>
    <row r="18" spans="1:10" x14ac:dyDescent="0.25">
      <c r="A18">
        <v>100000000</v>
      </c>
      <c r="B18">
        <v>1</v>
      </c>
      <c r="C18">
        <v>1.5640574004040824</v>
      </c>
      <c r="D18">
        <v>2.8333724367697437</v>
      </c>
      <c r="E18">
        <v>4.9027679666122665</v>
      </c>
      <c r="F18">
        <v>6.1508215424421158</v>
      </c>
      <c r="G18">
        <v>6.5410780830227946</v>
      </c>
    </row>
    <row r="19" spans="1:10" x14ac:dyDescent="0.25">
      <c r="A19" t="s">
        <v>10</v>
      </c>
      <c r="B19">
        <v>1</v>
      </c>
      <c r="C19">
        <v>2</v>
      </c>
      <c r="D19">
        <v>4</v>
      </c>
      <c r="E19">
        <v>6</v>
      </c>
      <c r="F19">
        <v>8</v>
      </c>
    </row>
    <row r="20" spans="1:10" x14ac:dyDescent="0.25">
      <c r="A20">
        <v>10000000</v>
      </c>
      <c r="B20">
        <v>1</v>
      </c>
      <c r="C20">
        <v>1.4555076260763855</v>
      </c>
      <c r="D20">
        <v>2.8440411366668878</v>
      </c>
      <c r="E20">
        <v>3.8886332069445868</v>
      </c>
      <c r="F20">
        <v>5.2773774282518611</v>
      </c>
      <c r="G20">
        <v>6.3953643519982899</v>
      </c>
    </row>
    <row r="21" spans="1:10" x14ac:dyDescent="0.25">
      <c r="A21" t="s">
        <v>17</v>
      </c>
      <c r="B21">
        <v>1</v>
      </c>
      <c r="C21">
        <v>1.7911262292355405</v>
      </c>
      <c r="D21">
        <v>2.6186299895433542</v>
      </c>
      <c r="E21">
        <v>3.5596331595679449</v>
      </c>
      <c r="F21">
        <v>5.0239871280380557</v>
      </c>
      <c r="G21">
        <v>5.8295672430203176</v>
      </c>
    </row>
    <row r="22" spans="1:10" x14ac:dyDescent="0.25">
      <c r="A22" t="s">
        <v>18</v>
      </c>
      <c r="B22">
        <v>1</v>
      </c>
      <c r="C22">
        <v>1.8077500918771825</v>
      </c>
      <c r="D22">
        <v>2.835612075531234</v>
      </c>
      <c r="E22">
        <v>3.8511208569726927</v>
      </c>
      <c r="F22">
        <v>5.0289312371081998</v>
      </c>
      <c r="G22">
        <v>6.3232383840703887</v>
      </c>
    </row>
    <row r="23" spans="1:10" x14ac:dyDescent="0.25">
      <c r="A23" t="s">
        <v>19</v>
      </c>
      <c r="B23">
        <v>1</v>
      </c>
      <c r="C23">
        <v>1.9498835782230788</v>
      </c>
      <c r="D23">
        <v>3.0525870546624834</v>
      </c>
      <c r="E23">
        <v>4.1733183703563794</v>
      </c>
      <c r="F23">
        <v>4.2237777960744189</v>
      </c>
      <c r="G23">
        <v>6.858112932877849</v>
      </c>
    </row>
    <row r="26" spans="1:10" ht="30" x14ac:dyDescent="0.25">
      <c r="A26" s="5" t="s">
        <v>25</v>
      </c>
      <c r="B26" s="5" t="s">
        <v>26</v>
      </c>
      <c r="C26" s="5" t="s">
        <v>27</v>
      </c>
      <c r="D26" s="5" t="s">
        <v>28</v>
      </c>
      <c r="E26" s="5" t="s">
        <v>29</v>
      </c>
      <c r="F26" s="5" t="s">
        <v>30</v>
      </c>
      <c r="G26" s="5" t="s">
        <v>31</v>
      </c>
      <c r="H26" s="5" t="s">
        <v>32</v>
      </c>
      <c r="I26" s="5" t="s">
        <v>33</v>
      </c>
      <c r="J26" s="5" t="s">
        <v>10</v>
      </c>
    </row>
    <row r="27" spans="1:10" x14ac:dyDescent="0.25">
      <c r="A27" s="4">
        <v>1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</row>
    <row r="28" spans="1:10" x14ac:dyDescent="0.25">
      <c r="A28" s="4">
        <v>2</v>
      </c>
      <c r="B28" s="4">
        <v>2.0289999999999999</v>
      </c>
      <c r="C28" s="4">
        <v>1.456</v>
      </c>
      <c r="D28" s="4">
        <v>1.853</v>
      </c>
      <c r="E28" s="4">
        <v>1.7909999999999999</v>
      </c>
      <c r="F28" s="4">
        <v>1.798</v>
      </c>
      <c r="G28" s="4">
        <v>1.8080000000000001</v>
      </c>
      <c r="H28" s="4">
        <v>1.5640000000000001</v>
      </c>
      <c r="I28">
        <v>1.9498835782230788</v>
      </c>
      <c r="J28" s="4">
        <v>2</v>
      </c>
    </row>
    <row r="29" spans="1:10" x14ac:dyDescent="0.25">
      <c r="A29" s="4">
        <v>4</v>
      </c>
      <c r="B29" s="4">
        <v>3.78</v>
      </c>
      <c r="C29" s="4">
        <v>2.8439999999999999</v>
      </c>
      <c r="D29" s="4">
        <v>3.8380000000000001</v>
      </c>
      <c r="E29" s="4">
        <v>2.6190000000000002</v>
      </c>
      <c r="F29" s="4">
        <v>3.6930000000000001</v>
      </c>
      <c r="G29" s="4">
        <v>2.8359999999999999</v>
      </c>
      <c r="H29" s="4">
        <v>2.8330000000000002</v>
      </c>
      <c r="I29">
        <v>3.0525870546624834</v>
      </c>
      <c r="J29" s="4">
        <v>4</v>
      </c>
    </row>
    <row r="30" spans="1:10" x14ac:dyDescent="0.25">
      <c r="A30" s="4">
        <v>6</v>
      </c>
      <c r="B30" s="4">
        <v>5.3280000000000003</v>
      </c>
      <c r="C30" s="4">
        <v>3.8889999999999998</v>
      </c>
      <c r="D30" s="4">
        <v>5.2530000000000001</v>
      </c>
      <c r="E30" s="4">
        <v>3.56</v>
      </c>
      <c r="F30" s="4">
        <v>5.1040000000000001</v>
      </c>
      <c r="G30" s="4">
        <v>3.851</v>
      </c>
      <c r="H30" s="4">
        <v>4.9029999999999996</v>
      </c>
      <c r="I30">
        <v>4.1733183703563794</v>
      </c>
      <c r="J30" s="4">
        <v>6</v>
      </c>
    </row>
    <row r="31" spans="1:10" x14ac:dyDescent="0.25">
      <c r="A31" s="4">
        <v>8</v>
      </c>
      <c r="B31" s="4">
        <v>5.7709999999999999</v>
      </c>
      <c r="C31" s="4">
        <v>5.2770000000000001</v>
      </c>
      <c r="D31" s="4">
        <v>6.1630000000000003</v>
      </c>
      <c r="E31" s="4">
        <v>5.024</v>
      </c>
      <c r="F31" s="4">
        <v>6.0339999999999998</v>
      </c>
      <c r="G31" s="4">
        <v>5.0289999999999999</v>
      </c>
      <c r="H31" s="4">
        <v>6.1509999999999998</v>
      </c>
      <c r="I31">
        <v>4.2237777960744189</v>
      </c>
      <c r="J31" s="4">
        <v>8</v>
      </c>
    </row>
    <row r="32" spans="1:10" x14ac:dyDescent="0.25">
      <c r="A32" s="4">
        <v>16</v>
      </c>
      <c r="B32" s="4">
        <v>6.4859999999999998</v>
      </c>
      <c r="C32" s="4">
        <v>6.3949999999999996</v>
      </c>
      <c r="D32" s="4">
        <v>6.5149999999999997</v>
      </c>
      <c r="E32" s="4">
        <v>5.83</v>
      </c>
      <c r="F32" s="4">
        <v>6.641</v>
      </c>
      <c r="G32" s="4">
        <v>6.3230000000000004</v>
      </c>
      <c r="H32" s="4">
        <v>6.5410000000000004</v>
      </c>
      <c r="I32">
        <v>6.858112932877849</v>
      </c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D63F-403D-4683-82D4-842F62C2662F}">
  <dimension ref="A3:H19"/>
  <sheetViews>
    <sheetView workbookViewId="0">
      <selection activeCell="E35" sqref="E35"/>
    </sheetView>
  </sheetViews>
  <sheetFormatPr defaultRowHeight="15" x14ac:dyDescent="0.25"/>
  <cols>
    <col min="1" max="1" width="20" bestFit="1" customWidth="1"/>
    <col min="2" max="2" width="16.85546875" bestFit="1" customWidth="1"/>
    <col min="3" max="4" width="9" bestFit="1" customWidth="1"/>
    <col min="5" max="5" width="10" bestFit="1" customWidth="1"/>
    <col min="6" max="6" width="11.28515625" bestFit="1" customWidth="1"/>
  </cols>
  <sheetData>
    <row r="3" spans="1:8" x14ac:dyDescent="0.25">
      <c r="A3" s="1" t="s">
        <v>11</v>
      </c>
      <c r="B3" s="1" t="s">
        <v>7</v>
      </c>
    </row>
    <row r="4" spans="1:8" x14ac:dyDescent="0.25">
      <c r="A4" s="1" t="s">
        <v>9</v>
      </c>
      <c r="B4">
        <v>1</v>
      </c>
      <c r="C4">
        <v>2</v>
      </c>
      <c r="D4">
        <v>4</v>
      </c>
      <c r="E4">
        <v>6</v>
      </c>
      <c r="F4">
        <v>8</v>
      </c>
      <c r="G4">
        <v>16</v>
      </c>
      <c r="H4" t="s">
        <v>8</v>
      </c>
    </row>
    <row r="5" spans="1:8" x14ac:dyDescent="0.25">
      <c r="A5" s="2">
        <v>10000000</v>
      </c>
      <c r="B5">
        <v>4.3586000000000009</v>
      </c>
      <c r="C5">
        <v>2.1482000000000001</v>
      </c>
      <c r="D5">
        <v>1.153</v>
      </c>
      <c r="E5">
        <v>0.81799999999999995</v>
      </c>
      <c r="F5">
        <v>0.75519999999999998</v>
      </c>
      <c r="G5">
        <v>0.67199999999999993</v>
      </c>
      <c r="H5">
        <v>9.9050000000000011</v>
      </c>
    </row>
    <row r="6" spans="1:8" x14ac:dyDescent="0.25">
      <c r="A6" s="2">
        <v>20000000</v>
      </c>
      <c r="B6">
        <v>11.4918</v>
      </c>
      <c r="C6">
        <v>6.2016</v>
      </c>
      <c r="D6">
        <v>2.9943999999999997</v>
      </c>
      <c r="E6">
        <v>2.1876000000000002</v>
      </c>
      <c r="F6">
        <v>1.8646</v>
      </c>
      <c r="G6">
        <v>1.764</v>
      </c>
      <c r="H6">
        <v>26.503999999999998</v>
      </c>
    </row>
    <row r="7" spans="1:8" x14ac:dyDescent="0.25">
      <c r="A7" s="2">
        <v>50000000</v>
      </c>
      <c r="B7">
        <v>44.321399999999997</v>
      </c>
      <c r="C7">
        <v>24.647399999999998</v>
      </c>
      <c r="D7">
        <v>12.000400000000001</v>
      </c>
      <c r="E7">
        <v>8.6828000000000003</v>
      </c>
      <c r="F7">
        <v>7.3448000000000011</v>
      </c>
      <c r="G7">
        <v>6.6742000000000008</v>
      </c>
      <c r="H7">
        <v>103.67099999999999</v>
      </c>
    </row>
    <row r="8" spans="1:8" x14ac:dyDescent="0.25">
      <c r="A8" s="2">
        <v>100000000</v>
      </c>
      <c r="B8">
        <v>120.76400000000001</v>
      </c>
      <c r="C8">
        <v>77.212000000000003</v>
      </c>
      <c r="D8">
        <v>42.622</v>
      </c>
      <c r="E8">
        <v>24.631799999999998</v>
      </c>
      <c r="F8">
        <v>19.633800000000001</v>
      </c>
      <c r="G8">
        <v>18.462399999999995</v>
      </c>
      <c r="H8">
        <v>303.32600000000002</v>
      </c>
    </row>
    <row r="9" spans="1:8" x14ac:dyDescent="0.25">
      <c r="A9" s="2" t="s">
        <v>8</v>
      </c>
      <c r="B9">
        <v>180.9358</v>
      </c>
      <c r="C9">
        <v>110.20920000000001</v>
      </c>
      <c r="D9">
        <v>58.769800000000004</v>
      </c>
      <c r="E9">
        <v>36.3202</v>
      </c>
      <c r="F9">
        <v>29.598400000000002</v>
      </c>
      <c r="G9">
        <v>27.572599999999994</v>
      </c>
      <c r="H9">
        <v>443.40600000000001</v>
      </c>
    </row>
    <row r="15" spans="1:8" x14ac:dyDescent="0.25">
      <c r="B15">
        <v>1</v>
      </c>
      <c r="C15">
        <v>2</v>
      </c>
      <c r="D15">
        <v>4</v>
      </c>
      <c r="E15">
        <v>6</v>
      </c>
      <c r="F15">
        <v>8</v>
      </c>
      <c r="G15">
        <v>16</v>
      </c>
    </row>
    <row r="16" spans="1:8" x14ac:dyDescent="0.25">
      <c r="A16">
        <v>10000000</v>
      </c>
      <c r="B16">
        <v>4.3586000000000009</v>
      </c>
      <c r="C16">
        <v>2.1482000000000001</v>
      </c>
      <c r="D16">
        <v>1.153</v>
      </c>
      <c r="E16">
        <v>0.81799999999999995</v>
      </c>
      <c r="F16">
        <v>0.75519999999999998</v>
      </c>
      <c r="G16">
        <v>0.67199999999999993</v>
      </c>
    </row>
    <row r="17" spans="1:7" x14ac:dyDescent="0.25">
      <c r="A17">
        <v>20000000</v>
      </c>
      <c r="B17">
        <v>11.4918</v>
      </c>
      <c r="C17">
        <v>6.2016</v>
      </c>
      <c r="D17">
        <v>2.9943999999999997</v>
      </c>
      <c r="E17">
        <v>2.1876000000000002</v>
      </c>
      <c r="F17">
        <v>1.8646</v>
      </c>
      <c r="G17">
        <v>1.764</v>
      </c>
    </row>
    <row r="18" spans="1:7" x14ac:dyDescent="0.25">
      <c r="A18">
        <v>50000000</v>
      </c>
      <c r="B18">
        <v>44.321399999999997</v>
      </c>
      <c r="C18">
        <v>24.647399999999998</v>
      </c>
      <c r="D18">
        <v>12.000400000000001</v>
      </c>
      <c r="E18">
        <v>8.6828000000000003</v>
      </c>
      <c r="F18">
        <v>7.3448000000000011</v>
      </c>
      <c r="G18">
        <v>6.6742000000000008</v>
      </c>
    </row>
    <row r="19" spans="1:7" x14ac:dyDescent="0.25">
      <c r="A19">
        <v>100000000</v>
      </c>
      <c r="B19">
        <v>120.76400000000001</v>
      </c>
      <c r="C19">
        <v>77.212000000000003</v>
      </c>
      <c r="D19">
        <v>42.622</v>
      </c>
      <c r="E19">
        <v>24.631799999999998</v>
      </c>
      <c r="F19">
        <v>19.633800000000001</v>
      </c>
      <c r="G19">
        <v>18.462399999999995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187E7-F9F4-4A57-A1A6-142470CE70D2}">
  <dimension ref="A1:I20"/>
  <sheetViews>
    <sheetView zoomScale="115" workbookViewId="0">
      <selection activeCell="G20" sqref="A17:G20"/>
    </sheetView>
  </sheetViews>
  <sheetFormatPr defaultRowHeight="15" x14ac:dyDescent="0.25"/>
  <cols>
    <col min="1" max="1" width="20" bestFit="1" customWidth="1"/>
    <col min="2" max="2" width="16.85546875" bestFit="1" customWidth="1"/>
    <col min="3" max="3" width="9" bestFit="1" customWidth="1"/>
    <col min="4" max="7" width="8" bestFit="1" customWidth="1"/>
    <col min="8" max="8" width="9" bestFit="1" customWidth="1"/>
    <col min="9" max="9" width="11.28515625" bestFit="1" customWidth="1"/>
  </cols>
  <sheetData>
    <row r="1" spans="1:9" x14ac:dyDescent="0.25">
      <c r="A1" s="1" t="s">
        <v>12</v>
      </c>
      <c r="B1" t="s">
        <v>15</v>
      </c>
    </row>
    <row r="3" spans="1:9" x14ac:dyDescent="0.25">
      <c r="A3" s="1" t="s">
        <v>11</v>
      </c>
      <c r="B3" s="1" t="s">
        <v>7</v>
      </c>
    </row>
    <row r="4" spans="1:9" x14ac:dyDescent="0.25">
      <c r="A4" s="1" t="s">
        <v>9</v>
      </c>
      <c r="B4">
        <v>1</v>
      </c>
      <c r="C4">
        <v>2</v>
      </c>
      <c r="D4">
        <v>4</v>
      </c>
      <c r="E4">
        <v>6</v>
      </c>
      <c r="F4">
        <v>8</v>
      </c>
      <c r="G4">
        <v>16</v>
      </c>
      <c r="H4" t="s">
        <v>16</v>
      </c>
      <c r="I4" t="s">
        <v>8</v>
      </c>
    </row>
    <row r="5" spans="1:9" x14ac:dyDescent="0.25">
      <c r="A5" s="2">
        <v>10000000</v>
      </c>
      <c r="B5">
        <v>4.3586000000000009</v>
      </c>
      <c r="C5">
        <v>2.1482000000000001</v>
      </c>
      <c r="D5">
        <v>1.153</v>
      </c>
      <c r="E5">
        <v>0.81799999999999995</v>
      </c>
      <c r="F5">
        <v>0.75519999999999998</v>
      </c>
      <c r="G5">
        <v>0.67199999999999993</v>
      </c>
      <c r="H5">
        <v>8.9615999999999989</v>
      </c>
      <c r="I5">
        <v>18.866599999999998</v>
      </c>
    </row>
    <row r="6" spans="1:9" x14ac:dyDescent="0.25">
      <c r="A6" s="2">
        <v>20000000</v>
      </c>
      <c r="B6">
        <v>11.4918</v>
      </c>
      <c r="C6">
        <v>6.2016</v>
      </c>
      <c r="D6">
        <v>2.9943999999999997</v>
      </c>
      <c r="E6">
        <v>2.1876000000000002</v>
      </c>
      <c r="F6">
        <v>1.8646</v>
      </c>
      <c r="G6">
        <v>1.764</v>
      </c>
      <c r="H6">
        <v>25.155999999999999</v>
      </c>
      <c r="I6">
        <v>51.66</v>
      </c>
    </row>
    <row r="7" spans="1:9" x14ac:dyDescent="0.25">
      <c r="A7" s="2">
        <v>50000000</v>
      </c>
      <c r="B7">
        <v>44.321399999999997</v>
      </c>
      <c r="C7">
        <v>24.647399999999998</v>
      </c>
      <c r="D7">
        <v>12.000400000000001</v>
      </c>
      <c r="E7">
        <v>8.6828000000000003</v>
      </c>
      <c r="F7">
        <v>7.3448000000000011</v>
      </c>
      <c r="G7">
        <v>6.6742000000000008</v>
      </c>
      <c r="H7">
        <v>88.580000000000013</v>
      </c>
      <c r="I7">
        <v>192.251</v>
      </c>
    </row>
    <row r="8" spans="1:9" x14ac:dyDescent="0.25">
      <c r="A8" s="2">
        <v>100000000</v>
      </c>
      <c r="B8">
        <v>120.76400000000001</v>
      </c>
      <c r="C8">
        <v>77.212000000000003</v>
      </c>
      <c r="D8">
        <v>42.622</v>
      </c>
      <c r="E8">
        <v>24.631799999999998</v>
      </c>
      <c r="F8">
        <v>19.633800000000001</v>
      </c>
      <c r="G8">
        <v>18.462399999999995</v>
      </c>
      <c r="H8">
        <v>231.78280000000001</v>
      </c>
      <c r="I8">
        <v>535.10879999999997</v>
      </c>
    </row>
    <row r="9" spans="1:9" x14ac:dyDescent="0.25">
      <c r="A9" s="2" t="s">
        <v>8</v>
      </c>
      <c r="B9">
        <v>180.9358</v>
      </c>
      <c r="C9">
        <v>110.20920000000001</v>
      </c>
      <c r="D9">
        <v>58.769800000000004</v>
      </c>
      <c r="E9">
        <v>36.3202</v>
      </c>
      <c r="F9">
        <v>29.598400000000002</v>
      </c>
      <c r="G9">
        <v>27.572599999999994</v>
      </c>
      <c r="H9">
        <v>354.48040000000003</v>
      </c>
      <c r="I9">
        <v>797.88639999999998</v>
      </c>
    </row>
    <row r="12" spans="1:9" x14ac:dyDescent="0.25">
      <c r="B12">
        <v>1</v>
      </c>
      <c r="C12">
        <v>2</v>
      </c>
      <c r="D12">
        <v>4</v>
      </c>
      <c r="E12">
        <v>6</v>
      </c>
      <c r="F12">
        <v>8</v>
      </c>
      <c r="G12">
        <v>16</v>
      </c>
      <c r="H12" t="s">
        <v>14</v>
      </c>
    </row>
    <row r="13" spans="1:9" x14ac:dyDescent="0.25">
      <c r="A13">
        <v>10000000</v>
      </c>
      <c r="B13">
        <v>4.3586000000000009</v>
      </c>
      <c r="C13">
        <v>2.1482000000000001</v>
      </c>
      <c r="D13">
        <v>1.153</v>
      </c>
      <c r="E13">
        <v>0.81799999999999995</v>
      </c>
      <c r="F13">
        <v>0.75519999999999998</v>
      </c>
      <c r="G13">
        <v>0.67199999999999993</v>
      </c>
      <c r="H13">
        <v>8.9615999999999989</v>
      </c>
    </row>
    <row r="14" spans="1:9" x14ac:dyDescent="0.25">
      <c r="A14">
        <v>20000000</v>
      </c>
      <c r="B14">
        <v>11.4918</v>
      </c>
      <c r="C14">
        <v>6.2016</v>
      </c>
      <c r="D14">
        <v>2.9943999999999997</v>
      </c>
      <c r="E14">
        <v>2.1876000000000002</v>
      </c>
      <c r="F14">
        <v>1.8646</v>
      </c>
      <c r="G14">
        <v>1.764</v>
      </c>
      <c r="H14">
        <v>25.155999999999999</v>
      </c>
    </row>
    <row r="15" spans="1:9" x14ac:dyDescent="0.25">
      <c r="A15">
        <v>50000000</v>
      </c>
      <c r="B15">
        <v>44.321399999999997</v>
      </c>
      <c r="C15">
        <v>24.647399999999998</v>
      </c>
      <c r="D15">
        <v>12.000400000000001</v>
      </c>
      <c r="E15">
        <v>8.6828000000000003</v>
      </c>
      <c r="F15">
        <v>7.3448000000000011</v>
      </c>
      <c r="G15">
        <v>6.6742000000000008</v>
      </c>
      <c r="H15">
        <v>88.580000000000013</v>
      </c>
    </row>
    <row r="16" spans="1:9" x14ac:dyDescent="0.25">
      <c r="A16">
        <v>100000000</v>
      </c>
      <c r="B16">
        <v>120.76400000000001</v>
      </c>
      <c r="C16">
        <v>77.212000000000003</v>
      </c>
      <c r="D16">
        <v>42.622</v>
      </c>
      <c r="E16">
        <v>24.631799999999998</v>
      </c>
      <c r="F16">
        <v>19.633800000000001</v>
      </c>
      <c r="G16">
        <v>18.462399999999995</v>
      </c>
      <c r="H16">
        <v>231.78280000000001</v>
      </c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1CE0-A00E-4860-A25E-7E2437B01582}">
  <dimension ref="A1:H44"/>
  <sheetViews>
    <sheetView topLeftCell="C1" zoomScale="167" zoomScaleNormal="115" workbookViewId="0">
      <selection activeCell="H29" sqref="H29"/>
    </sheetView>
  </sheetViews>
  <sheetFormatPr defaultRowHeight="15" x14ac:dyDescent="0.25"/>
  <cols>
    <col min="1" max="1" width="12.42578125" bestFit="1" customWidth="1"/>
    <col min="2" max="2" width="15.5703125" bestFit="1" customWidth="1"/>
    <col min="3" max="4" width="12" bestFit="1" customWidth="1"/>
    <col min="5" max="39" width="15.5703125" bestFit="1" customWidth="1"/>
    <col min="40" max="40" width="10.5703125" bestFit="1" customWidth="1"/>
  </cols>
  <sheetData>
    <row r="1" spans="1:8" x14ac:dyDescent="0.25">
      <c r="F1" t="s">
        <v>0</v>
      </c>
      <c r="G1" t="s">
        <v>21</v>
      </c>
      <c r="H1" t="s">
        <v>20</v>
      </c>
    </row>
    <row r="2" spans="1:8" x14ac:dyDescent="0.25">
      <c r="F2">
        <v>10000000</v>
      </c>
      <c r="G2">
        <v>0.61199999999999999</v>
      </c>
      <c r="H2">
        <v>3.122439</v>
      </c>
    </row>
    <row r="3" spans="1:8" x14ac:dyDescent="0.25">
      <c r="A3" s="1" t="s">
        <v>24</v>
      </c>
      <c r="B3" s="1" t="s">
        <v>7</v>
      </c>
      <c r="F3">
        <v>15000000</v>
      </c>
      <c r="G3">
        <v>1.0569999999999999</v>
      </c>
      <c r="H3">
        <v>5.5079390000000004</v>
      </c>
    </row>
    <row r="4" spans="1:8" x14ac:dyDescent="0.25">
      <c r="A4" s="1" t="s">
        <v>9</v>
      </c>
      <c r="B4" t="s">
        <v>21</v>
      </c>
      <c r="C4" t="s">
        <v>20</v>
      </c>
      <c r="D4" t="s">
        <v>8</v>
      </c>
      <c r="F4">
        <v>20000000</v>
      </c>
      <c r="G4">
        <v>1.5409999999999999</v>
      </c>
      <c r="H4">
        <v>8.9404459999999997</v>
      </c>
    </row>
    <row r="5" spans="1:8" x14ac:dyDescent="0.25">
      <c r="A5" s="2">
        <v>10000000</v>
      </c>
      <c r="B5">
        <v>0.61199999999999999</v>
      </c>
      <c r="C5">
        <v>3.122439</v>
      </c>
      <c r="D5">
        <v>3.7344390000000001</v>
      </c>
      <c r="F5">
        <v>25000000</v>
      </c>
      <c r="G5">
        <v>2.0979999999999999</v>
      </c>
      <c r="H5">
        <v>12.018957</v>
      </c>
    </row>
    <row r="6" spans="1:8" x14ac:dyDescent="0.25">
      <c r="A6" s="2">
        <v>15000000</v>
      </c>
      <c r="B6">
        <v>1.0569999999999999</v>
      </c>
      <c r="C6">
        <v>5.5079390000000004</v>
      </c>
      <c r="D6">
        <v>6.5649390000000007</v>
      </c>
      <c r="F6">
        <v>30000000</v>
      </c>
      <c r="G6">
        <v>2.8450000000000002</v>
      </c>
      <c r="H6">
        <v>15.344973</v>
      </c>
    </row>
    <row r="7" spans="1:8" x14ac:dyDescent="0.25">
      <c r="A7" s="2">
        <v>20000000</v>
      </c>
      <c r="B7">
        <v>1.5409999999999999</v>
      </c>
      <c r="C7">
        <v>8.9404459999999997</v>
      </c>
      <c r="D7">
        <v>10.481446</v>
      </c>
      <c r="F7">
        <v>35000000</v>
      </c>
      <c r="G7">
        <v>3.4239999999999999</v>
      </c>
      <c r="H7">
        <v>18.010586</v>
      </c>
    </row>
    <row r="8" spans="1:8" x14ac:dyDescent="0.25">
      <c r="A8" s="2">
        <v>25000000</v>
      </c>
      <c r="B8">
        <v>2.0979999999999999</v>
      </c>
      <c r="C8">
        <v>12.018957</v>
      </c>
      <c r="D8">
        <v>14.116956999999999</v>
      </c>
      <c r="F8">
        <v>40000000</v>
      </c>
      <c r="G8">
        <v>4.3209999999999997</v>
      </c>
      <c r="H8">
        <v>20.931664000000001</v>
      </c>
    </row>
    <row r="9" spans="1:8" x14ac:dyDescent="0.25">
      <c r="A9" s="2">
        <v>30000000</v>
      </c>
      <c r="B9">
        <v>2.8450000000000002</v>
      </c>
      <c r="C9">
        <v>15.344973</v>
      </c>
      <c r="D9">
        <v>18.189972999999998</v>
      </c>
      <c r="F9">
        <v>45000000</v>
      </c>
      <c r="G9">
        <v>5.9690000000000003</v>
      </c>
      <c r="H9">
        <v>26.676121999999999</v>
      </c>
    </row>
    <row r="10" spans="1:8" x14ac:dyDescent="0.25">
      <c r="A10" s="2">
        <v>35000000</v>
      </c>
      <c r="B10">
        <v>3.4239999999999999</v>
      </c>
      <c r="C10">
        <v>18.010586</v>
      </c>
      <c r="D10">
        <v>21.434585999999999</v>
      </c>
      <c r="F10">
        <v>50000000</v>
      </c>
      <c r="G10">
        <v>8.0730000000000004</v>
      </c>
      <c r="H10">
        <v>29.201584</v>
      </c>
    </row>
    <row r="11" spans="1:8" x14ac:dyDescent="0.25">
      <c r="A11" s="2">
        <v>40000000</v>
      </c>
      <c r="B11">
        <v>4.3209999999999997</v>
      </c>
      <c r="C11">
        <v>20.931664000000001</v>
      </c>
      <c r="D11">
        <v>25.252664000000003</v>
      </c>
      <c r="F11">
        <v>55000000</v>
      </c>
      <c r="G11">
        <v>8.6479999999999997</v>
      </c>
      <c r="H11">
        <v>32.929178999999998</v>
      </c>
    </row>
    <row r="12" spans="1:8" x14ac:dyDescent="0.25">
      <c r="A12" s="2">
        <v>45000000</v>
      </c>
      <c r="B12">
        <v>5.9690000000000003</v>
      </c>
      <c r="C12">
        <v>26.676121999999999</v>
      </c>
      <c r="D12">
        <v>32.645122000000001</v>
      </c>
      <c r="F12">
        <v>60000000</v>
      </c>
      <c r="G12">
        <v>9.5190000000000001</v>
      </c>
      <c r="H12">
        <v>38.565423000000003</v>
      </c>
    </row>
    <row r="13" spans="1:8" x14ac:dyDescent="0.25">
      <c r="A13" s="2">
        <v>50000000</v>
      </c>
      <c r="B13">
        <v>8.0730000000000004</v>
      </c>
      <c r="C13">
        <v>29.201584</v>
      </c>
      <c r="D13">
        <v>37.274584000000004</v>
      </c>
      <c r="F13">
        <v>65000000</v>
      </c>
      <c r="G13">
        <v>9.9529999999999994</v>
      </c>
      <c r="H13">
        <v>50.777777999999998</v>
      </c>
    </row>
    <row r="14" spans="1:8" x14ac:dyDescent="0.25">
      <c r="A14" s="2">
        <v>55000000</v>
      </c>
      <c r="B14">
        <v>8.6479999999999997</v>
      </c>
      <c r="C14">
        <v>32.929178999999998</v>
      </c>
      <c r="D14">
        <v>41.577179000000001</v>
      </c>
      <c r="F14">
        <v>70000000</v>
      </c>
      <c r="G14">
        <v>11.127000000000001</v>
      </c>
      <c r="H14">
        <v>63.340834000000001</v>
      </c>
    </row>
    <row r="15" spans="1:8" x14ac:dyDescent="0.25">
      <c r="A15" s="2">
        <v>60000000</v>
      </c>
      <c r="B15">
        <v>9.5190000000000001</v>
      </c>
      <c r="C15">
        <v>38.565423000000003</v>
      </c>
      <c r="D15">
        <v>48.084423000000001</v>
      </c>
      <c r="F15">
        <v>75000000</v>
      </c>
      <c r="G15">
        <v>12.686</v>
      </c>
      <c r="H15">
        <v>69.109358999999998</v>
      </c>
    </row>
    <row r="16" spans="1:8" x14ac:dyDescent="0.25">
      <c r="A16" s="2">
        <v>65000000</v>
      </c>
      <c r="B16">
        <v>9.9529999999999994</v>
      </c>
      <c r="C16">
        <v>50.777777999999998</v>
      </c>
      <c r="D16">
        <v>60.730778000000001</v>
      </c>
      <c r="F16">
        <v>80000000</v>
      </c>
      <c r="G16">
        <v>13.398999999999999</v>
      </c>
      <c r="H16">
        <v>75.068881000000005</v>
      </c>
    </row>
    <row r="17" spans="1:8" x14ac:dyDescent="0.25">
      <c r="A17" s="2">
        <v>70000000</v>
      </c>
      <c r="B17">
        <v>11.127000000000001</v>
      </c>
      <c r="C17">
        <v>63.340834000000001</v>
      </c>
      <c r="D17">
        <v>74.467833999999996</v>
      </c>
      <c r="F17">
        <v>85000000</v>
      </c>
      <c r="G17">
        <v>14.74</v>
      </c>
      <c r="H17">
        <v>86.416640999999998</v>
      </c>
    </row>
    <row r="18" spans="1:8" x14ac:dyDescent="0.25">
      <c r="A18" s="2">
        <v>75000000</v>
      </c>
      <c r="B18">
        <v>12.686</v>
      </c>
      <c r="C18">
        <v>69.109358999999998</v>
      </c>
      <c r="D18">
        <v>81.795358999999991</v>
      </c>
      <c r="F18">
        <v>90000000</v>
      </c>
      <c r="G18">
        <v>15.725</v>
      </c>
      <c r="H18">
        <v>82.332379000000003</v>
      </c>
    </row>
    <row r="19" spans="1:8" x14ac:dyDescent="0.25">
      <c r="A19" s="2">
        <v>80000000</v>
      </c>
      <c r="B19">
        <v>13.398999999999999</v>
      </c>
      <c r="C19">
        <v>75.068881000000005</v>
      </c>
      <c r="D19">
        <v>88.467881000000006</v>
      </c>
      <c r="F19">
        <v>95000000</v>
      </c>
      <c r="G19">
        <v>15.848000000000001</v>
      </c>
      <c r="H19">
        <v>98.141268999999994</v>
      </c>
    </row>
    <row r="20" spans="1:8" x14ac:dyDescent="0.25">
      <c r="A20" s="2">
        <v>85000000</v>
      </c>
      <c r="B20">
        <v>14.74</v>
      </c>
      <c r="C20">
        <v>86.416640999999998</v>
      </c>
      <c r="D20">
        <v>101.15664099999999</v>
      </c>
      <c r="F20">
        <v>100000000</v>
      </c>
      <c r="G20">
        <v>17.047999999999998</v>
      </c>
      <c r="H20">
        <v>107.240549</v>
      </c>
    </row>
    <row r="21" spans="1:8" x14ac:dyDescent="0.25">
      <c r="A21" s="2">
        <v>90000000</v>
      </c>
      <c r="B21">
        <v>15.725</v>
      </c>
      <c r="C21">
        <v>82.332379000000003</v>
      </c>
      <c r="D21">
        <v>98.057378999999997</v>
      </c>
      <c r="F21">
        <v>105000000</v>
      </c>
      <c r="G21">
        <v>19.753</v>
      </c>
      <c r="H21">
        <v>105.37048</v>
      </c>
    </row>
    <row r="22" spans="1:8" x14ac:dyDescent="0.25">
      <c r="A22" s="2">
        <v>95000000</v>
      </c>
      <c r="B22">
        <v>15.848000000000001</v>
      </c>
      <c r="C22">
        <v>98.141268999999994</v>
      </c>
      <c r="D22">
        <v>113.98926899999999</v>
      </c>
      <c r="F22">
        <v>110000000</v>
      </c>
      <c r="G22">
        <v>22.457999999999998</v>
      </c>
      <c r="H22">
        <v>126.428952</v>
      </c>
    </row>
    <row r="23" spans="1:8" x14ac:dyDescent="0.25">
      <c r="A23" s="2">
        <v>100000000</v>
      </c>
      <c r="B23">
        <v>17.047999999999998</v>
      </c>
      <c r="C23">
        <v>107.240549</v>
      </c>
      <c r="D23">
        <v>124.288549</v>
      </c>
      <c r="F23">
        <v>115000000</v>
      </c>
      <c r="G23">
        <v>24.315000000000001</v>
      </c>
      <c r="H23">
        <v>131.21434300000001</v>
      </c>
    </row>
    <row r="24" spans="1:8" x14ac:dyDescent="0.25">
      <c r="A24" s="2">
        <v>105000000</v>
      </c>
      <c r="B24">
        <v>19.753</v>
      </c>
      <c r="C24">
        <v>105.37048</v>
      </c>
      <c r="D24">
        <v>125.12348</v>
      </c>
      <c r="F24">
        <v>120000000</v>
      </c>
      <c r="G24">
        <v>23.919</v>
      </c>
      <c r="H24">
        <v>136.99463299999999</v>
      </c>
    </row>
    <row r="25" spans="1:8" x14ac:dyDescent="0.25">
      <c r="A25" s="2">
        <v>110000000</v>
      </c>
      <c r="B25">
        <v>22.457999999999998</v>
      </c>
      <c r="C25">
        <v>126.428952</v>
      </c>
      <c r="D25">
        <v>148.88695200000001</v>
      </c>
      <c r="F25">
        <v>125000000</v>
      </c>
      <c r="G25">
        <v>25.841999999999999</v>
      </c>
      <c r="H25">
        <v>152.49593300000001</v>
      </c>
    </row>
    <row r="26" spans="1:8" x14ac:dyDescent="0.25">
      <c r="A26" s="2">
        <v>115000000</v>
      </c>
      <c r="B26">
        <v>24.315000000000001</v>
      </c>
      <c r="C26">
        <v>131.21434300000001</v>
      </c>
      <c r="D26">
        <v>155.52934300000001</v>
      </c>
      <c r="F26">
        <v>130000000</v>
      </c>
      <c r="G26">
        <v>28.629000000000001</v>
      </c>
      <c r="H26">
        <v>159.67055500000001</v>
      </c>
    </row>
    <row r="27" spans="1:8" x14ac:dyDescent="0.25">
      <c r="A27" s="2">
        <v>120000000</v>
      </c>
      <c r="B27">
        <v>23.919</v>
      </c>
      <c r="C27">
        <v>136.99463299999999</v>
      </c>
      <c r="D27">
        <v>160.913633</v>
      </c>
      <c r="F27">
        <v>135000000</v>
      </c>
      <c r="G27">
        <v>28.564</v>
      </c>
      <c r="H27">
        <v>166.96337800000001</v>
      </c>
    </row>
    <row r="28" spans="1:8" x14ac:dyDescent="0.25">
      <c r="A28" s="2">
        <v>125000000</v>
      </c>
      <c r="B28">
        <v>25.841999999999999</v>
      </c>
      <c r="C28">
        <v>152.49593300000001</v>
      </c>
      <c r="D28">
        <v>178.33793300000002</v>
      </c>
      <c r="F28">
        <v>140000000</v>
      </c>
      <c r="G28">
        <v>28.489000000000001</v>
      </c>
      <c r="H28">
        <v>153.16600500000001</v>
      </c>
    </row>
    <row r="29" spans="1:8" x14ac:dyDescent="0.25">
      <c r="A29" s="2">
        <v>130000000</v>
      </c>
      <c r="B29">
        <v>28.629000000000001</v>
      </c>
      <c r="C29">
        <v>159.67055500000001</v>
      </c>
      <c r="D29">
        <v>188.299555</v>
      </c>
      <c r="F29">
        <v>145000000</v>
      </c>
      <c r="G29">
        <v>31.704999999999998</v>
      </c>
      <c r="H29">
        <v>202.24257299999999</v>
      </c>
    </row>
    <row r="30" spans="1:8" x14ac:dyDescent="0.25">
      <c r="A30" s="2">
        <v>135000000</v>
      </c>
      <c r="B30">
        <v>28.564</v>
      </c>
      <c r="C30">
        <v>166.96337800000001</v>
      </c>
      <c r="D30">
        <v>195.527378</v>
      </c>
      <c r="F30">
        <v>150000000</v>
      </c>
      <c r="G30">
        <v>33.576000000000001</v>
      </c>
      <c r="H30">
        <v>197.665719</v>
      </c>
    </row>
    <row r="31" spans="1:8" x14ac:dyDescent="0.25">
      <c r="A31" s="2">
        <v>140000000</v>
      </c>
      <c r="B31">
        <v>28.489000000000001</v>
      </c>
      <c r="C31">
        <v>153.16600500000001</v>
      </c>
      <c r="D31">
        <v>181.65500500000002</v>
      </c>
      <c r="F31">
        <v>155000000</v>
      </c>
      <c r="G31">
        <v>36.679000000000002</v>
      </c>
      <c r="H31">
        <v>178.110602</v>
      </c>
    </row>
    <row r="32" spans="1:8" x14ac:dyDescent="0.25">
      <c r="A32" s="2">
        <v>145000000</v>
      </c>
      <c r="B32">
        <v>31.704999999999998</v>
      </c>
      <c r="C32">
        <v>202.24257299999999</v>
      </c>
      <c r="D32">
        <v>233.94757299999998</v>
      </c>
      <c r="F32">
        <v>160000000</v>
      </c>
      <c r="G32">
        <v>35.526000000000003</v>
      </c>
      <c r="H32">
        <v>171.97265100000001</v>
      </c>
    </row>
    <row r="33" spans="1:8" x14ac:dyDescent="0.25">
      <c r="A33" s="2">
        <v>150000000</v>
      </c>
      <c r="B33">
        <v>33.576000000000001</v>
      </c>
      <c r="C33">
        <v>197.665719</v>
      </c>
      <c r="D33">
        <v>231.24171899999999</v>
      </c>
      <c r="F33">
        <v>165000000</v>
      </c>
      <c r="G33">
        <v>38.374000000000002</v>
      </c>
      <c r="H33">
        <v>225.55224100000001</v>
      </c>
    </row>
    <row r="34" spans="1:8" x14ac:dyDescent="0.25">
      <c r="A34" s="2">
        <v>155000000</v>
      </c>
      <c r="B34">
        <v>36.679000000000002</v>
      </c>
      <c r="C34">
        <v>178.110602</v>
      </c>
      <c r="D34">
        <v>214.789602</v>
      </c>
      <c r="F34">
        <v>170000000</v>
      </c>
      <c r="G34">
        <v>43.917000000000002</v>
      </c>
      <c r="H34">
        <v>244.509726</v>
      </c>
    </row>
    <row r="35" spans="1:8" x14ac:dyDescent="0.25">
      <c r="A35" s="2">
        <v>160000000</v>
      </c>
      <c r="B35">
        <v>35.526000000000003</v>
      </c>
      <c r="C35">
        <v>171.97265100000001</v>
      </c>
      <c r="D35">
        <v>207.49865100000002</v>
      </c>
      <c r="F35">
        <v>175000000</v>
      </c>
      <c r="G35">
        <v>42.796999999999997</v>
      </c>
      <c r="H35">
        <v>251.22929500000001</v>
      </c>
    </row>
    <row r="36" spans="1:8" x14ac:dyDescent="0.25">
      <c r="A36" s="2">
        <v>165000000</v>
      </c>
      <c r="B36">
        <v>38.374000000000002</v>
      </c>
      <c r="C36">
        <v>225.55224100000001</v>
      </c>
      <c r="D36">
        <v>263.926241</v>
      </c>
      <c r="F36">
        <v>180000000</v>
      </c>
      <c r="G36">
        <v>45.875</v>
      </c>
      <c r="H36">
        <v>248.96807799999999</v>
      </c>
    </row>
    <row r="37" spans="1:8" x14ac:dyDescent="0.25">
      <c r="A37" s="2">
        <v>170000000</v>
      </c>
      <c r="B37">
        <v>43.917000000000002</v>
      </c>
      <c r="C37">
        <v>244.509726</v>
      </c>
      <c r="D37">
        <v>288.42672600000003</v>
      </c>
      <c r="F37">
        <v>185000000</v>
      </c>
      <c r="G37">
        <v>49.539000000000001</v>
      </c>
      <c r="H37">
        <v>259.259837</v>
      </c>
    </row>
    <row r="38" spans="1:8" x14ac:dyDescent="0.25">
      <c r="A38" s="2">
        <v>175000000</v>
      </c>
      <c r="B38">
        <v>42.796999999999997</v>
      </c>
      <c r="C38">
        <v>251.22929500000001</v>
      </c>
      <c r="D38">
        <v>294.026295</v>
      </c>
      <c r="F38">
        <v>190000000</v>
      </c>
      <c r="G38">
        <v>48.234000000000002</v>
      </c>
      <c r="H38">
        <v>282.74265600000001</v>
      </c>
    </row>
    <row r="39" spans="1:8" x14ac:dyDescent="0.25">
      <c r="A39" s="2">
        <v>180000000</v>
      </c>
      <c r="B39">
        <v>45.875</v>
      </c>
      <c r="C39">
        <v>248.96807799999999</v>
      </c>
      <c r="D39">
        <v>294.84307799999999</v>
      </c>
      <c r="F39">
        <v>195000000</v>
      </c>
      <c r="G39">
        <v>56.164999999999999</v>
      </c>
      <c r="H39">
        <v>293.19705800000003</v>
      </c>
    </row>
    <row r="40" spans="1:8" x14ac:dyDescent="0.25">
      <c r="A40" s="2">
        <v>185000000</v>
      </c>
      <c r="B40">
        <v>49.539000000000001</v>
      </c>
      <c r="C40">
        <v>259.259837</v>
      </c>
      <c r="D40">
        <v>308.79883699999999</v>
      </c>
      <c r="F40">
        <v>200000000</v>
      </c>
      <c r="G40">
        <v>62.033999999999999</v>
      </c>
      <c r="H40">
        <v>292.25776200000001</v>
      </c>
    </row>
    <row r="41" spans="1:8" x14ac:dyDescent="0.25">
      <c r="A41" s="2">
        <v>190000000</v>
      </c>
      <c r="B41">
        <v>48.234000000000002</v>
      </c>
      <c r="C41">
        <v>282.74265600000001</v>
      </c>
      <c r="D41">
        <v>330.97665599999999</v>
      </c>
    </row>
    <row r="42" spans="1:8" x14ac:dyDescent="0.25">
      <c r="A42" s="2">
        <v>195000000</v>
      </c>
      <c r="B42">
        <v>56.164999999999999</v>
      </c>
      <c r="C42">
        <v>293.19705800000003</v>
      </c>
      <c r="D42">
        <v>349.36205800000005</v>
      </c>
    </row>
    <row r="43" spans="1:8" x14ac:dyDescent="0.25">
      <c r="A43" s="2">
        <v>200000000</v>
      </c>
      <c r="B43">
        <v>62.033999999999999</v>
      </c>
      <c r="C43">
        <v>292.25776200000001</v>
      </c>
      <c r="D43">
        <v>354.29176200000001</v>
      </c>
    </row>
    <row r="44" spans="1:8" x14ac:dyDescent="0.25">
      <c r="A44" s="2" t="s">
        <v>8</v>
      </c>
      <c r="B44">
        <v>885.02300000000002</v>
      </c>
      <c r="C44">
        <v>4823.6894789999997</v>
      </c>
      <c r="D44">
        <v>5708.7124789999998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F003-583F-4508-BFFD-8C2A25680B59}">
  <dimension ref="A1:C79"/>
  <sheetViews>
    <sheetView zoomScale="118" workbookViewId="0">
      <selection sqref="A1:C79"/>
    </sheetView>
  </sheetViews>
  <sheetFormatPr defaultRowHeight="15" x14ac:dyDescent="0.25"/>
  <cols>
    <col min="1" max="1" width="9.42578125" customWidth="1"/>
    <col min="2" max="2" width="12.7109375" customWidth="1"/>
    <col min="6" max="6" width="12.7109375" customWidth="1"/>
  </cols>
  <sheetData>
    <row r="1" spans="1:3" x14ac:dyDescent="0.25">
      <c r="A1" t="s">
        <v>23</v>
      </c>
      <c r="B1" t="s">
        <v>0</v>
      </c>
      <c r="C1" t="s">
        <v>22</v>
      </c>
    </row>
    <row r="2" spans="1:3" x14ac:dyDescent="0.25">
      <c r="A2" t="s">
        <v>20</v>
      </c>
      <c r="B2">
        <v>10000000</v>
      </c>
      <c r="C2">
        <v>3.122439</v>
      </c>
    </row>
    <row r="3" spans="1:3" x14ac:dyDescent="0.25">
      <c r="A3" t="s">
        <v>20</v>
      </c>
      <c r="B3">
        <v>15000000</v>
      </c>
      <c r="C3">
        <v>5.5079390000000004</v>
      </c>
    </row>
    <row r="4" spans="1:3" x14ac:dyDescent="0.25">
      <c r="A4" t="s">
        <v>20</v>
      </c>
      <c r="B4">
        <v>20000000</v>
      </c>
      <c r="C4">
        <v>8.9404459999999997</v>
      </c>
    </row>
    <row r="5" spans="1:3" x14ac:dyDescent="0.25">
      <c r="A5" t="s">
        <v>20</v>
      </c>
      <c r="B5">
        <v>25000000</v>
      </c>
      <c r="C5">
        <v>12.018957</v>
      </c>
    </row>
    <row r="6" spans="1:3" x14ac:dyDescent="0.25">
      <c r="A6" t="s">
        <v>20</v>
      </c>
      <c r="B6">
        <v>30000000</v>
      </c>
      <c r="C6">
        <v>15.344973</v>
      </c>
    </row>
    <row r="7" spans="1:3" x14ac:dyDescent="0.25">
      <c r="A7" t="s">
        <v>20</v>
      </c>
      <c r="B7">
        <v>35000000</v>
      </c>
      <c r="C7">
        <v>18.010586</v>
      </c>
    </row>
    <row r="8" spans="1:3" x14ac:dyDescent="0.25">
      <c r="A8" t="s">
        <v>20</v>
      </c>
      <c r="B8">
        <v>40000000</v>
      </c>
      <c r="C8">
        <v>20.931664000000001</v>
      </c>
    </row>
    <row r="9" spans="1:3" x14ac:dyDescent="0.25">
      <c r="A9" t="s">
        <v>20</v>
      </c>
      <c r="B9">
        <v>45000000</v>
      </c>
      <c r="C9">
        <v>26.676121999999999</v>
      </c>
    </row>
    <row r="10" spans="1:3" x14ac:dyDescent="0.25">
      <c r="A10" t="s">
        <v>20</v>
      </c>
      <c r="B10">
        <v>50000000</v>
      </c>
      <c r="C10">
        <v>29.201584</v>
      </c>
    </row>
    <row r="11" spans="1:3" x14ac:dyDescent="0.25">
      <c r="A11" t="s">
        <v>20</v>
      </c>
      <c r="B11">
        <v>55000000</v>
      </c>
      <c r="C11">
        <v>32.929178999999998</v>
      </c>
    </row>
    <row r="12" spans="1:3" x14ac:dyDescent="0.25">
      <c r="A12" t="s">
        <v>20</v>
      </c>
      <c r="B12">
        <v>60000000</v>
      </c>
      <c r="C12">
        <v>38.565423000000003</v>
      </c>
    </row>
    <row r="13" spans="1:3" x14ac:dyDescent="0.25">
      <c r="A13" t="s">
        <v>20</v>
      </c>
      <c r="B13">
        <v>65000000</v>
      </c>
      <c r="C13">
        <v>50.777777999999998</v>
      </c>
    </row>
    <row r="14" spans="1:3" x14ac:dyDescent="0.25">
      <c r="A14" t="s">
        <v>20</v>
      </c>
      <c r="B14">
        <v>70000000</v>
      </c>
      <c r="C14">
        <v>63.340834000000001</v>
      </c>
    </row>
    <row r="15" spans="1:3" x14ac:dyDescent="0.25">
      <c r="A15" t="s">
        <v>20</v>
      </c>
      <c r="B15">
        <v>75000000</v>
      </c>
      <c r="C15">
        <v>69.109358999999998</v>
      </c>
    </row>
    <row r="16" spans="1:3" x14ac:dyDescent="0.25">
      <c r="A16" t="s">
        <v>20</v>
      </c>
      <c r="B16">
        <v>80000000</v>
      </c>
      <c r="C16">
        <v>75.068881000000005</v>
      </c>
    </row>
    <row r="17" spans="1:3" x14ac:dyDescent="0.25">
      <c r="A17" t="s">
        <v>20</v>
      </c>
      <c r="B17">
        <v>85000000</v>
      </c>
      <c r="C17">
        <v>86.416640999999998</v>
      </c>
    </row>
    <row r="18" spans="1:3" x14ac:dyDescent="0.25">
      <c r="A18" t="s">
        <v>20</v>
      </c>
      <c r="B18">
        <v>90000000</v>
      </c>
      <c r="C18">
        <v>82.332379000000003</v>
      </c>
    </row>
    <row r="19" spans="1:3" x14ac:dyDescent="0.25">
      <c r="A19" t="s">
        <v>20</v>
      </c>
      <c r="B19">
        <v>95000000</v>
      </c>
      <c r="C19">
        <v>98.141268999999994</v>
      </c>
    </row>
    <row r="20" spans="1:3" x14ac:dyDescent="0.25">
      <c r="A20" t="s">
        <v>20</v>
      </c>
      <c r="B20">
        <v>100000000</v>
      </c>
      <c r="C20">
        <v>107.240549</v>
      </c>
    </row>
    <row r="21" spans="1:3" x14ac:dyDescent="0.25">
      <c r="A21" t="s">
        <v>20</v>
      </c>
      <c r="B21">
        <v>105000000</v>
      </c>
      <c r="C21">
        <v>105.37048</v>
      </c>
    </row>
    <row r="22" spans="1:3" x14ac:dyDescent="0.25">
      <c r="A22" t="s">
        <v>20</v>
      </c>
      <c r="B22">
        <v>110000000</v>
      </c>
      <c r="C22">
        <v>126.428952</v>
      </c>
    </row>
    <row r="23" spans="1:3" x14ac:dyDescent="0.25">
      <c r="A23" t="s">
        <v>20</v>
      </c>
      <c r="B23">
        <v>115000000</v>
      </c>
      <c r="C23">
        <v>131.21434300000001</v>
      </c>
    </row>
    <row r="24" spans="1:3" x14ac:dyDescent="0.25">
      <c r="A24" t="s">
        <v>20</v>
      </c>
      <c r="B24">
        <v>120000000</v>
      </c>
      <c r="C24">
        <v>136.99463299999999</v>
      </c>
    </row>
    <row r="25" spans="1:3" x14ac:dyDescent="0.25">
      <c r="A25" t="s">
        <v>20</v>
      </c>
      <c r="B25">
        <v>125000000</v>
      </c>
      <c r="C25">
        <v>152.49593300000001</v>
      </c>
    </row>
    <row r="26" spans="1:3" x14ac:dyDescent="0.25">
      <c r="A26" t="s">
        <v>20</v>
      </c>
      <c r="B26">
        <v>130000000</v>
      </c>
      <c r="C26">
        <v>159.67055500000001</v>
      </c>
    </row>
    <row r="27" spans="1:3" x14ac:dyDescent="0.25">
      <c r="A27" t="s">
        <v>20</v>
      </c>
      <c r="B27">
        <v>135000000</v>
      </c>
      <c r="C27">
        <v>166.96337800000001</v>
      </c>
    </row>
    <row r="28" spans="1:3" x14ac:dyDescent="0.25">
      <c r="A28" t="s">
        <v>20</v>
      </c>
      <c r="B28">
        <v>140000000</v>
      </c>
      <c r="C28">
        <v>153.16600500000001</v>
      </c>
    </row>
    <row r="29" spans="1:3" x14ac:dyDescent="0.25">
      <c r="A29" t="s">
        <v>20</v>
      </c>
      <c r="B29">
        <v>145000000</v>
      </c>
      <c r="C29">
        <v>202.24257299999999</v>
      </c>
    </row>
    <row r="30" spans="1:3" x14ac:dyDescent="0.25">
      <c r="A30" t="s">
        <v>20</v>
      </c>
      <c r="B30">
        <v>150000000</v>
      </c>
      <c r="C30">
        <v>197.665719</v>
      </c>
    </row>
    <row r="31" spans="1:3" x14ac:dyDescent="0.25">
      <c r="A31" t="s">
        <v>20</v>
      </c>
      <c r="B31">
        <v>155000000</v>
      </c>
      <c r="C31">
        <v>178.110602</v>
      </c>
    </row>
    <row r="32" spans="1:3" x14ac:dyDescent="0.25">
      <c r="A32" t="s">
        <v>20</v>
      </c>
      <c r="B32">
        <v>160000000</v>
      </c>
      <c r="C32">
        <v>171.97265100000001</v>
      </c>
    </row>
    <row r="33" spans="1:3" x14ac:dyDescent="0.25">
      <c r="A33" t="s">
        <v>20</v>
      </c>
      <c r="B33">
        <v>165000000</v>
      </c>
      <c r="C33">
        <v>225.55224100000001</v>
      </c>
    </row>
    <row r="34" spans="1:3" x14ac:dyDescent="0.25">
      <c r="A34" t="s">
        <v>20</v>
      </c>
      <c r="B34">
        <v>170000000</v>
      </c>
      <c r="C34">
        <v>244.509726</v>
      </c>
    </row>
    <row r="35" spans="1:3" x14ac:dyDescent="0.25">
      <c r="A35" t="s">
        <v>20</v>
      </c>
      <c r="B35">
        <v>175000000</v>
      </c>
      <c r="C35">
        <v>251.22929500000001</v>
      </c>
    </row>
    <row r="36" spans="1:3" x14ac:dyDescent="0.25">
      <c r="A36" t="s">
        <v>20</v>
      </c>
      <c r="B36">
        <v>180000000</v>
      </c>
      <c r="C36">
        <v>248.96807799999999</v>
      </c>
    </row>
    <row r="37" spans="1:3" x14ac:dyDescent="0.25">
      <c r="A37" t="s">
        <v>20</v>
      </c>
      <c r="B37">
        <v>185000000</v>
      </c>
      <c r="C37">
        <v>259.259837</v>
      </c>
    </row>
    <row r="38" spans="1:3" x14ac:dyDescent="0.25">
      <c r="A38" t="s">
        <v>20</v>
      </c>
      <c r="B38">
        <v>190000000</v>
      </c>
      <c r="C38">
        <v>282.74265600000001</v>
      </c>
    </row>
    <row r="39" spans="1:3" x14ac:dyDescent="0.25">
      <c r="A39" t="s">
        <v>20</v>
      </c>
      <c r="B39">
        <v>195000000</v>
      </c>
      <c r="C39">
        <v>293.19705800000003</v>
      </c>
    </row>
    <row r="40" spans="1:3" x14ac:dyDescent="0.25">
      <c r="A40" t="s">
        <v>20</v>
      </c>
      <c r="B40">
        <v>200000000</v>
      </c>
      <c r="C40">
        <v>292.25776200000001</v>
      </c>
    </row>
    <row r="41" spans="1:3" x14ac:dyDescent="0.25">
      <c r="A41" t="s">
        <v>21</v>
      </c>
      <c r="B41">
        <v>10000000</v>
      </c>
      <c r="C41">
        <v>0.61199999999999999</v>
      </c>
    </row>
    <row r="42" spans="1:3" x14ac:dyDescent="0.25">
      <c r="A42" t="s">
        <v>21</v>
      </c>
      <c r="B42">
        <v>15000000</v>
      </c>
      <c r="C42">
        <v>1.0569999999999999</v>
      </c>
    </row>
    <row r="43" spans="1:3" x14ac:dyDescent="0.25">
      <c r="A43" t="s">
        <v>21</v>
      </c>
      <c r="B43">
        <v>20000000</v>
      </c>
      <c r="C43">
        <v>1.5409999999999999</v>
      </c>
    </row>
    <row r="44" spans="1:3" x14ac:dyDescent="0.25">
      <c r="A44" t="s">
        <v>21</v>
      </c>
      <c r="B44">
        <v>25000000</v>
      </c>
      <c r="C44">
        <v>2.0979999999999999</v>
      </c>
    </row>
    <row r="45" spans="1:3" x14ac:dyDescent="0.25">
      <c r="A45" t="s">
        <v>21</v>
      </c>
      <c r="B45">
        <v>30000000</v>
      </c>
      <c r="C45">
        <v>2.8450000000000002</v>
      </c>
    </row>
    <row r="46" spans="1:3" x14ac:dyDescent="0.25">
      <c r="A46" t="s">
        <v>21</v>
      </c>
      <c r="B46">
        <v>35000000</v>
      </c>
      <c r="C46">
        <v>3.4239999999999999</v>
      </c>
    </row>
    <row r="47" spans="1:3" x14ac:dyDescent="0.25">
      <c r="A47" t="s">
        <v>21</v>
      </c>
      <c r="B47">
        <v>40000000</v>
      </c>
      <c r="C47">
        <v>4.3209999999999997</v>
      </c>
    </row>
    <row r="48" spans="1:3" x14ac:dyDescent="0.25">
      <c r="A48" t="s">
        <v>21</v>
      </c>
      <c r="B48">
        <v>45000000</v>
      </c>
      <c r="C48">
        <v>5.9690000000000003</v>
      </c>
    </row>
    <row r="49" spans="1:3" x14ac:dyDescent="0.25">
      <c r="A49" t="s">
        <v>21</v>
      </c>
      <c r="B49">
        <v>50000000</v>
      </c>
      <c r="C49">
        <v>8.0730000000000004</v>
      </c>
    </row>
    <row r="50" spans="1:3" x14ac:dyDescent="0.25">
      <c r="A50" t="s">
        <v>21</v>
      </c>
      <c r="B50">
        <v>55000000</v>
      </c>
      <c r="C50">
        <v>8.6479999999999997</v>
      </c>
    </row>
    <row r="51" spans="1:3" x14ac:dyDescent="0.25">
      <c r="A51" t="s">
        <v>21</v>
      </c>
      <c r="B51">
        <v>60000000</v>
      </c>
      <c r="C51">
        <v>9.5190000000000001</v>
      </c>
    </row>
    <row r="52" spans="1:3" x14ac:dyDescent="0.25">
      <c r="A52" t="s">
        <v>21</v>
      </c>
      <c r="B52">
        <v>65000000</v>
      </c>
      <c r="C52">
        <v>9.9529999999999994</v>
      </c>
    </row>
    <row r="53" spans="1:3" x14ac:dyDescent="0.25">
      <c r="A53" t="s">
        <v>21</v>
      </c>
      <c r="B53">
        <v>70000000</v>
      </c>
      <c r="C53">
        <v>11.127000000000001</v>
      </c>
    </row>
    <row r="54" spans="1:3" x14ac:dyDescent="0.25">
      <c r="A54" t="s">
        <v>21</v>
      </c>
      <c r="B54">
        <v>75000000</v>
      </c>
      <c r="C54">
        <v>12.686</v>
      </c>
    </row>
    <row r="55" spans="1:3" x14ac:dyDescent="0.25">
      <c r="A55" t="s">
        <v>21</v>
      </c>
      <c r="B55">
        <v>80000000</v>
      </c>
      <c r="C55">
        <v>13.398999999999999</v>
      </c>
    </row>
    <row r="56" spans="1:3" x14ac:dyDescent="0.25">
      <c r="A56" t="s">
        <v>21</v>
      </c>
      <c r="B56">
        <v>85000000</v>
      </c>
      <c r="C56">
        <v>14.74</v>
      </c>
    </row>
    <row r="57" spans="1:3" x14ac:dyDescent="0.25">
      <c r="A57" t="s">
        <v>21</v>
      </c>
      <c r="B57">
        <v>90000000</v>
      </c>
      <c r="C57">
        <v>15.725</v>
      </c>
    </row>
    <row r="58" spans="1:3" x14ac:dyDescent="0.25">
      <c r="A58" t="s">
        <v>21</v>
      </c>
      <c r="B58">
        <v>95000000</v>
      </c>
      <c r="C58">
        <v>15.848000000000001</v>
      </c>
    </row>
    <row r="59" spans="1:3" x14ac:dyDescent="0.25">
      <c r="A59" t="s">
        <v>21</v>
      </c>
      <c r="B59">
        <v>100000000</v>
      </c>
      <c r="C59">
        <v>17.047999999999998</v>
      </c>
    </row>
    <row r="60" spans="1:3" x14ac:dyDescent="0.25">
      <c r="A60" t="s">
        <v>21</v>
      </c>
      <c r="B60">
        <v>105000000</v>
      </c>
      <c r="C60">
        <v>19.753</v>
      </c>
    </row>
    <row r="61" spans="1:3" x14ac:dyDescent="0.25">
      <c r="A61" t="s">
        <v>21</v>
      </c>
      <c r="B61">
        <v>110000000</v>
      </c>
      <c r="C61">
        <v>22.457999999999998</v>
      </c>
    </row>
    <row r="62" spans="1:3" x14ac:dyDescent="0.25">
      <c r="A62" t="s">
        <v>21</v>
      </c>
      <c r="B62">
        <v>115000000</v>
      </c>
      <c r="C62">
        <v>24.315000000000001</v>
      </c>
    </row>
    <row r="63" spans="1:3" x14ac:dyDescent="0.25">
      <c r="A63" t="s">
        <v>21</v>
      </c>
      <c r="B63">
        <v>120000000</v>
      </c>
      <c r="C63">
        <v>23.919</v>
      </c>
    </row>
    <row r="64" spans="1:3" x14ac:dyDescent="0.25">
      <c r="A64" t="s">
        <v>21</v>
      </c>
      <c r="B64">
        <v>125000000</v>
      </c>
      <c r="C64">
        <v>25.841999999999999</v>
      </c>
    </row>
    <row r="65" spans="1:3" x14ac:dyDescent="0.25">
      <c r="A65" t="s">
        <v>21</v>
      </c>
      <c r="B65">
        <v>130000000</v>
      </c>
      <c r="C65">
        <v>28.629000000000001</v>
      </c>
    </row>
    <row r="66" spans="1:3" x14ac:dyDescent="0.25">
      <c r="A66" t="s">
        <v>21</v>
      </c>
      <c r="B66">
        <v>135000000</v>
      </c>
      <c r="C66">
        <v>28.564</v>
      </c>
    </row>
    <row r="67" spans="1:3" x14ac:dyDescent="0.25">
      <c r="A67" t="s">
        <v>21</v>
      </c>
      <c r="B67">
        <v>140000000</v>
      </c>
      <c r="C67">
        <v>28.489000000000001</v>
      </c>
    </row>
    <row r="68" spans="1:3" x14ac:dyDescent="0.25">
      <c r="A68" t="s">
        <v>21</v>
      </c>
      <c r="B68">
        <v>145000000</v>
      </c>
      <c r="C68">
        <v>31.704999999999998</v>
      </c>
    </row>
    <row r="69" spans="1:3" x14ac:dyDescent="0.25">
      <c r="A69" t="s">
        <v>21</v>
      </c>
      <c r="B69">
        <v>150000000</v>
      </c>
      <c r="C69">
        <v>33.576000000000001</v>
      </c>
    </row>
    <row r="70" spans="1:3" x14ac:dyDescent="0.25">
      <c r="A70" t="s">
        <v>21</v>
      </c>
      <c r="B70">
        <v>155000000</v>
      </c>
      <c r="C70">
        <v>36.679000000000002</v>
      </c>
    </row>
    <row r="71" spans="1:3" x14ac:dyDescent="0.25">
      <c r="A71" t="s">
        <v>21</v>
      </c>
      <c r="B71">
        <v>160000000</v>
      </c>
      <c r="C71">
        <v>35.526000000000003</v>
      </c>
    </row>
    <row r="72" spans="1:3" x14ac:dyDescent="0.25">
      <c r="A72" t="s">
        <v>21</v>
      </c>
      <c r="B72">
        <v>165000000</v>
      </c>
      <c r="C72">
        <v>38.374000000000002</v>
      </c>
    </row>
    <row r="73" spans="1:3" x14ac:dyDescent="0.25">
      <c r="A73" t="s">
        <v>21</v>
      </c>
      <c r="B73">
        <v>170000000</v>
      </c>
      <c r="C73">
        <v>43.917000000000002</v>
      </c>
    </row>
    <row r="74" spans="1:3" x14ac:dyDescent="0.25">
      <c r="A74" t="s">
        <v>21</v>
      </c>
      <c r="B74">
        <v>175000000</v>
      </c>
      <c r="C74">
        <v>42.796999999999997</v>
      </c>
    </row>
    <row r="75" spans="1:3" x14ac:dyDescent="0.25">
      <c r="A75" t="s">
        <v>21</v>
      </c>
      <c r="B75">
        <v>180000000</v>
      </c>
      <c r="C75">
        <v>45.875</v>
      </c>
    </row>
    <row r="76" spans="1:3" x14ac:dyDescent="0.25">
      <c r="A76" t="s">
        <v>21</v>
      </c>
      <c r="B76">
        <v>185000000</v>
      </c>
      <c r="C76">
        <v>49.539000000000001</v>
      </c>
    </row>
    <row r="77" spans="1:3" x14ac:dyDescent="0.25">
      <c r="A77" t="s">
        <v>21</v>
      </c>
      <c r="B77">
        <v>190000000</v>
      </c>
      <c r="C77">
        <v>48.234000000000002</v>
      </c>
    </row>
    <row r="78" spans="1:3" x14ac:dyDescent="0.25">
      <c r="A78" t="s">
        <v>21</v>
      </c>
      <c r="B78">
        <v>195000000</v>
      </c>
      <c r="C78">
        <v>56.164999999999999</v>
      </c>
    </row>
    <row r="79" spans="1:3" x14ac:dyDescent="0.25">
      <c r="A79" t="s">
        <v>21</v>
      </c>
      <c r="B79">
        <v>200000000</v>
      </c>
      <c r="C79">
        <v>62.033999999999999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5E299-8154-4DB8-A61C-5F9D70EAE53C}">
  <dimension ref="A1:P121"/>
  <sheetViews>
    <sheetView zoomScale="108" zoomScaleNormal="130" workbookViewId="0">
      <selection activeCell="F13" sqref="F13"/>
    </sheetView>
  </sheetViews>
  <sheetFormatPr defaultRowHeight="15" x14ac:dyDescent="0.25"/>
  <cols>
    <col min="1" max="4" width="9" bestFit="1" customWidth="1"/>
    <col min="7" max="7" width="10" bestFit="1" customWidth="1"/>
    <col min="8" max="8" width="9" bestFit="1" customWidth="1"/>
    <col min="9" max="9" width="11.7109375" customWidth="1"/>
    <col min="10" max="10" width="9" bestFit="1" customWidth="1"/>
    <col min="14" max="14" width="10" bestFit="1" customWidth="1"/>
    <col min="15" max="16" width="9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G1" t="s">
        <v>0</v>
      </c>
      <c r="H1" t="s">
        <v>1</v>
      </c>
      <c r="I1" t="s">
        <v>4</v>
      </c>
      <c r="J1" t="s">
        <v>5</v>
      </c>
      <c r="K1" t="s">
        <v>12</v>
      </c>
      <c r="N1" t="s">
        <v>0</v>
      </c>
      <c r="O1" t="s">
        <v>2</v>
      </c>
      <c r="P1" t="s">
        <v>3</v>
      </c>
    </row>
    <row r="2" spans="1:16" x14ac:dyDescent="0.25">
      <c r="A2">
        <v>10000000</v>
      </c>
      <c r="B2">
        <v>1</v>
      </c>
      <c r="C2">
        <v>1</v>
      </c>
      <c r="D2">
        <v>4.1980000000000004</v>
      </c>
      <c r="G2">
        <v>10000000</v>
      </c>
      <c r="H2">
        <v>1</v>
      </c>
      <c r="I2">
        <f>AVERAGEIFS(D:D, A:A, G2, B:B, H2)</f>
        <v>4.3586000000000009</v>
      </c>
      <c r="J2">
        <f>I2/I2</f>
        <v>1</v>
      </c>
      <c r="K2" t="s">
        <v>13</v>
      </c>
      <c r="N2">
        <v>10000000</v>
      </c>
      <c r="O2">
        <v>1</v>
      </c>
      <c r="P2">
        <v>8.86</v>
      </c>
    </row>
    <row r="3" spans="1:16" x14ac:dyDescent="0.25">
      <c r="A3">
        <v>10000000</v>
      </c>
      <c r="B3">
        <v>1</v>
      </c>
      <c r="C3">
        <v>2</v>
      </c>
      <c r="D3">
        <v>4.875</v>
      </c>
      <c r="G3">
        <v>10000000</v>
      </c>
      <c r="H3">
        <v>2</v>
      </c>
      <c r="I3">
        <f t="shared" ref="I3:I25" si="0">AVERAGEIFS(D:D, A:A, G3, B:B, H3)</f>
        <v>2.1482000000000001</v>
      </c>
      <c r="J3">
        <f>I2/I3</f>
        <v>2.0289544735127087</v>
      </c>
      <c r="K3" t="s">
        <v>13</v>
      </c>
      <c r="N3">
        <v>10000000</v>
      </c>
      <c r="O3">
        <v>2</v>
      </c>
      <c r="P3">
        <v>8.6620000000000008</v>
      </c>
    </row>
    <row r="4" spans="1:16" x14ac:dyDescent="0.25">
      <c r="A4">
        <v>10000000</v>
      </c>
      <c r="B4">
        <v>1</v>
      </c>
      <c r="C4">
        <v>3</v>
      </c>
      <c r="D4">
        <v>4.2450000000000001</v>
      </c>
      <c r="G4">
        <v>10000000</v>
      </c>
      <c r="H4">
        <v>4</v>
      </c>
      <c r="I4">
        <f t="shared" si="0"/>
        <v>1.153</v>
      </c>
      <c r="J4">
        <f>I2/I4</f>
        <v>3.7802254986990467</v>
      </c>
      <c r="K4" t="s">
        <v>13</v>
      </c>
      <c r="N4">
        <v>10000000</v>
      </c>
      <c r="O4">
        <v>3</v>
      </c>
      <c r="P4">
        <v>8.6679999999999993</v>
      </c>
    </row>
    <row r="5" spans="1:16" x14ac:dyDescent="0.25">
      <c r="A5">
        <v>10000000</v>
      </c>
      <c r="B5">
        <v>1</v>
      </c>
      <c r="C5">
        <v>4</v>
      </c>
      <c r="D5">
        <v>4.2480000000000002</v>
      </c>
      <c r="G5">
        <v>10000000</v>
      </c>
      <c r="H5">
        <v>6</v>
      </c>
      <c r="I5">
        <f t="shared" si="0"/>
        <v>0.81799999999999995</v>
      </c>
      <c r="J5">
        <f>I2/I5</f>
        <v>5.3283618581907106</v>
      </c>
      <c r="K5" t="s">
        <v>13</v>
      </c>
      <c r="N5">
        <v>10000000</v>
      </c>
      <c r="O5">
        <v>4</v>
      </c>
      <c r="P5">
        <v>8.91</v>
      </c>
    </row>
    <row r="6" spans="1:16" x14ac:dyDescent="0.25">
      <c r="A6">
        <v>10000000</v>
      </c>
      <c r="B6">
        <v>1</v>
      </c>
      <c r="C6">
        <v>5</v>
      </c>
      <c r="D6">
        <v>4.2270000000000003</v>
      </c>
      <c r="G6">
        <v>10000000</v>
      </c>
      <c r="H6">
        <v>8</v>
      </c>
      <c r="I6">
        <f t="shared" si="0"/>
        <v>0.75519999999999998</v>
      </c>
      <c r="J6">
        <f>I2/I6</f>
        <v>5.7714512711864421</v>
      </c>
      <c r="K6" t="s">
        <v>13</v>
      </c>
      <c r="N6">
        <v>10000000</v>
      </c>
      <c r="O6">
        <v>5</v>
      </c>
      <c r="P6">
        <v>9.7080000000000002</v>
      </c>
    </row>
    <row r="7" spans="1:16" x14ac:dyDescent="0.25">
      <c r="A7">
        <v>10000000</v>
      </c>
      <c r="B7">
        <v>2</v>
      </c>
      <c r="C7">
        <v>1</v>
      </c>
      <c r="D7">
        <v>2.1549999999999998</v>
      </c>
      <c r="G7">
        <v>10000000</v>
      </c>
      <c r="H7">
        <v>16</v>
      </c>
      <c r="I7">
        <f t="shared" si="0"/>
        <v>0.67199999999999993</v>
      </c>
      <c r="J7">
        <f>I2/I7</f>
        <v>6.4860119047619067</v>
      </c>
      <c r="K7" t="s">
        <v>13</v>
      </c>
      <c r="N7">
        <v>20000000</v>
      </c>
      <c r="O7">
        <v>1</v>
      </c>
      <c r="P7">
        <v>23.495000000000001</v>
      </c>
    </row>
    <row r="8" spans="1:16" x14ac:dyDescent="0.25">
      <c r="A8">
        <v>10000000</v>
      </c>
      <c r="B8">
        <v>2</v>
      </c>
      <c r="C8">
        <v>2</v>
      </c>
      <c r="D8">
        <v>2.149</v>
      </c>
      <c r="G8">
        <v>20000000</v>
      </c>
      <c r="H8">
        <v>1</v>
      </c>
      <c r="I8">
        <f t="shared" si="0"/>
        <v>11.4918</v>
      </c>
      <c r="J8">
        <f>I8/I8</f>
        <v>1</v>
      </c>
      <c r="K8" t="s">
        <v>13</v>
      </c>
      <c r="N8">
        <v>20000000</v>
      </c>
      <c r="O8">
        <v>2</v>
      </c>
      <c r="P8">
        <v>24.645</v>
      </c>
    </row>
    <row r="9" spans="1:16" x14ac:dyDescent="0.25">
      <c r="A9">
        <v>10000000</v>
      </c>
      <c r="B9">
        <v>2</v>
      </c>
      <c r="C9">
        <v>3</v>
      </c>
      <c r="D9">
        <v>2.1419999999999999</v>
      </c>
      <c r="G9">
        <v>20000000</v>
      </c>
      <c r="H9">
        <v>2</v>
      </c>
      <c r="I9">
        <f t="shared" si="0"/>
        <v>6.2016</v>
      </c>
      <c r="J9">
        <f>I8/I9</f>
        <v>1.8530379256965943</v>
      </c>
      <c r="K9" t="s">
        <v>13</v>
      </c>
      <c r="N9">
        <v>20000000</v>
      </c>
      <c r="O9">
        <v>3</v>
      </c>
      <c r="P9">
        <v>25.02</v>
      </c>
    </row>
    <row r="10" spans="1:16" x14ac:dyDescent="0.25">
      <c r="A10">
        <v>10000000</v>
      </c>
      <c r="B10">
        <v>2</v>
      </c>
      <c r="C10">
        <v>4</v>
      </c>
      <c r="D10">
        <v>2.149</v>
      </c>
      <c r="G10">
        <v>20000000</v>
      </c>
      <c r="H10">
        <v>4</v>
      </c>
      <c r="I10">
        <f t="shared" si="0"/>
        <v>2.9943999999999997</v>
      </c>
      <c r="J10">
        <f>I8/I10</f>
        <v>3.8377638258081754</v>
      </c>
      <c r="K10" t="s">
        <v>13</v>
      </c>
      <c r="N10">
        <v>20000000</v>
      </c>
      <c r="O10">
        <v>4</v>
      </c>
      <c r="P10">
        <v>28.065999999999999</v>
      </c>
    </row>
    <row r="11" spans="1:16" x14ac:dyDescent="0.25">
      <c r="A11">
        <v>10000000</v>
      </c>
      <c r="B11">
        <v>2</v>
      </c>
      <c r="C11">
        <v>5</v>
      </c>
      <c r="D11">
        <v>2.1459999999999999</v>
      </c>
      <c r="G11">
        <v>20000000</v>
      </c>
      <c r="H11">
        <v>6</v>
      </c>
      <c r="I11">
        <f t="shared" si="0"/>
        <v>2.1876000000000002</v>
      </c>
      <c r="J11">
        <f>I8/I11</f>
        <v>5.2531541415249583</v>
      </c>
      <c r="K11" t="s">
        <v>13</v>
      </c>
      <c r="N11">
        <v>20000000</v>
      </c>
      <c r="O11">
        <v>5</v>
      </c>
      <c r="P11">
        <v>24.553999999999998</v>
      </c>
    </row>
    <row r="12" spans="1:16" x14ac:dyDescent="0.25">
      <c r="A12">
        <v>10000000</v>
      </c>
      <c r="B12">
        <v>4</v>
      </c>
      <c r="C12">
        <v>1</v>
      </c>
      <c r="D12">
        <v>1.157</v>
      </c>
      <c r="G12">
        <v>20000000</v>
      </c>
      <c r="H12">
        <v>8</v>
      </c>
      <c r="I12">
        <f t="shared" si="0"/>
        <v>1.8646</v>
      </c>
      <c r="J12">
        <f>I8/I12</f>
        <v>6.1631449104365545</v>
      </c>
      <c r="K12" t="s">
        <v>13</v>
      </c>
      <c r="N12">
        <v>50000000</v>
      </c>
      <c r="O12">
        <v>1</v>
      </c>
      <c r="P12">
        <v>87.659000000000006</v>
      </c>
    </row>
    <row r="13" spans="1:16" x14ac:dyDescent="0.25">
      <c r="A13">
        <v>10000000</v>
      </c>
      <c r="B13">
        <v>4</v>
      </c>
      <c r="C13">
        <v>2</v>
      </c>
      <c r="D13">
        <v>1.232</v>
      </c>
      <c r="G13">
        <v>20000000</v>
      </c>
      <c r="H13">
        <v>16</v>
      </c>
      <c r="I13">
        <f t="shared" si="0"/>
        <v>1.764</v>
      </c>
      <c r="J13">
        <f>I8/I13</f>
        <v>6.5146258503401357</v>
      </c>
      <c r="K13" t="s">
        <v>13</v>
      </c>
      <c r="N13">
        <v>50000000</v>
      </c>
      <c r="O13">
        <v>2</v>
      </c>
      <c r="P13">
        <v>85.852000000000004</v>
      </c>
    </row>
    <row r="14" spans="1:16" x14ac:dyDescent="0.25">
      <c r="A14">
        <v>10000000</v>
      </c>
      <c r="B14">
        <v>4</v>
      </c>
      <c r="C14">
        <v>3</v>
      </c>
      <c r="D14">
        <v>1.1359999999999999</v>
      </c>
      <c r="G14">
        <v>50000000</v>
      </c>
      <c r="H14">
        <v>1</v>
      </c>
      <c r="I14">
        <f t="shared" si="0"/>
        <v>44.321399999999997</v>
      </c>
      <c r="J14">
        <f>I14/I14</f>
        <v>1</v>
      </c>
      <c r="K14" t="s">
        <v>13</v>
      </c>
      <c r="N14">
        <v>50000000</v>
      </c>
      <c r="O14">
        <v>3</v>
      </c>
      <c r="P14">
        <v>89.811999999999998</v>
      </c>
    </row>
    <row r="15" spans="1:16" x14ac:dyDescent="0.25">
      <c r="A15">
        <v>10000000</v>
      </c>
      <c r="B15">
        <v>4</v>
      </c>
      <c r="C15">
        <v>4</v>
      </c>
      <c r="D15">
        <v>1.121</v>
      </c>
      <c r="G15">
        <v>50000000</v>
      </c>
      <c r="H15">
        <v>2</v>
      </c>
      <c r="I15">
        <f t="shared" si="0"/>
        <v>24.647399999999998</v>
      </c>
      <c r="J15">
        <f>I14/I15</f>
        <v>1.7982180676257942</v>
      </c>
      <c r="K15" t="s">
        <v>13</v>
      </c>
      <c r="N15">
        <v>50000000</v>
      </c>
      <c r="O15">
        <v>4</v>
      </c>
      <c r="P15">
        <v>90.396000000000001</v>
      </c>
    </row>
    <row r="16" spans="1:16" x14ac:dyDescent="0.25">
      <c r="A16">
        <v>10000000</v>
      </c>
      <c r="B16">
        <v>4</v>
      </c>
      <c r="C16">
        <v>5</v>
      </c>
      <c r="D16">
        <v>1.119</v>
      </c>
      <c r="G16">
        <v>50000000</v>
      </c>
      <c r="H16">
        <v>4</v>
      </c>
      <c r="I16">
        <f t="shared" si="0"/>
        <v>12.000400000000001</v>
      </c>
      <c r="J16">
        <f>I14/I16</f>
        <v>3.6933268891036959</v>
      </c>
      <c r="K16" t="s">
        <v>13</v>
      </c>
      <c r="N16">
        <v>50000000</v>
      </c>
      <c r="O16">
        <v>5</v>
      </c>
      <c r="P16">
        <v>89.180999999999997</v>
      </c>
    </row>
    <row r="17" spans="1:16" x14ac:dyDescent="0.25">
      <c r="A17">
        <v>10000000</v>
      </c>
      <c r="B17">
        <v>6</v>
      </c>
      <c r="C17">
        <v>1</v>
      </c>
      <c r="D17">
        <v>0.83899999999999997</v>
      </c>
      <c r="G17">
        <v>50000000</v>
      </c>
      <c r="H17">
        <v>6</v>
      </c>
      <c r="I17">
        <f t="shared" si="0"/>
        <v>8.6828000000000003</v>
      </c>
      <c r="J17">
        <f>I14/I17</f>
        <v>5.1045054590685028</v>
      </c>
      <c r="K17" t="s">
        <v>13</v>
      </c>
      <c r="N17">
        <v>100000000</v>
      </c>
      <c r="O17">
        <v>1</v>
      </c>
      <c r="P17">
        <v>234.95699999999999</v>
      </c>
    </row>
    <row r="18" spans="1:16" x14ac:dyDescent="0.25">
      <c r="A18">
        <v>10000000</v>
      </c>
      <c r="B18">
        <v>6</v>
      </c>
      <c r="C18">
        <v>2</v>
      </c>
      <c r="D18">
        <v>0.83699999999999997</v>
      </c>
      <c r="G18">
        <v>50000000</v>
      </c>
      <c r="H18">
        <v>8</v>
      </c>
      <c r="I18">
        <f t="shared" si="0"/>
        <v>7.3448000000000011</v>
      </c>
      <c r="J18">
        <f>I14/I18</f>
        <v>6.0343916784663971</v>
      </c>
      <c r="K18" t="s">
        <v>13</v>
      </c>
      <c r="N18">
        <v>100000000</v>
      </c>
      <c r="O18">
        <v>2</v>
      </c>
      <c r="P18">
        <v>232.18100000000001</v>
      </c>
    </row>
    <row r="19" spans="1:16" x14ac:dyDescent="0.25">
      <c r="A19">
        <v>10000000</v>
      </c>
      <c r="B19">
        <v>6</v>
      </c>
      <c r="C19">
        <v>3</v>
      </c>
      <c r="D19">
        <v>0.80500000000000005</v>
      </c>
      <c r="G19">
        <v>50000000</v>
      </c>
      <c r="H19">
        <v>16</v>
      </c>
      <c r="I19">
        <f t="shared" si="0"/>
        <v>6.6742000000000008</v>
      </c>
      <c r="J19">
        <f>I14/I19</f>
        <v>6.6407060022174926</v>
      </c>
      <c r="K19" t="s">
        <v>13</v>
      </c>
      <c r="N19">
        <v>100000000</v>
      </c>
      <c r="O19">
        <v>3</v>
      </c>
      <c r="P19">
        <v>230.745</v>
      </c>
    </row>
    <row r="20" spans="1:16" x14ac:dyDescent="0.25">
      <c r="A20">
        <v>10000000</v>
      </c>
      <c r="B20">
        <v>6</v>
      </c>
      <c r="C20">
        <v>4</v>
      </c>
      <c r="D20">
        <v>0.80100000000000005</v>
      </c>
      <c r="G20">
        <v>100000000</v>
      </c>
      <c r="H20">
        <v>1</v>
      </c>
      <c r="I20">
        <f t="shared" si="0"/>
        <v>120.76400000000001</v>
      </c>
      <c r="J20">
        <f>I20/I20</f>
        <v>1</v>
      </c>
      <c r="K20" t="s">
        <v>13</v>
      </c>
      <c r="N20">
        <v>100000000</v>
      </c>
      <c r="O20">
        <v>4</v>
      </c>
      <c r="P20">
        <v>230.422</v>
      </c>
    </row>
    <row r="21" spans="1:16" x14ac:dyDescent="0.25">
      <c r="A21">
        <v>10000000</v>
      </c>
      <c r="B21">
        <v>6</v>
      </c>
      <c r="C21">
        <v>5</v>
      </c>
      <c r="D21">
        <v>0.80800000000000005</v>
      </c>
      <c r="G21">
        <v>100000000</v>
      </c>
      <c r="H21">
        <v>2</v>
      </c>
      <c r="I21">
        <f>AVERAGEIFS(D:D, A:A, G21, B:B, H21)</f>
        <v>77.212000000000003</v>
      </c>
      <c r="J21">
        <f>I20/I21</f>
        <v>1.5640574004040824</v>
      </c>
      <c r="K21" t="s">
        <v>13</v>
      </c>
      <c r="N21">
        <v>100000000</v>
      </c>
      <c r="O21">
        <v>5</v>
      </c>
      <c r="P21">
        <v>230.60900000000001</v>
      </c>
    </row>
    <row r="22" spans="1:16" x14ac:dyDescent="0.25">
      <c r="A22">
        <v>10000000</v>
      </c>
      <c r="B22">
        <v>8</v>
      </c>
      <c r="C22">
        <v>1</v>
      </c>
      <c r="D22">
        <v>0.82399999999999995</v>
      </c>
      <c r="G22">
        <v>100000000</v>
      </c>
      <c r="H22">
        <v>4</v>
      </c>
      <c r="I22">
        <f t="shared" si="0"/>
        <v>42.622</v>
      </c>
      <c r="J22">
        <f>I20/I22</f>
        <v>2.8333724367697437</v>
      </c>
      <c r="K22" t="s">
        <v>13</v>
      </c>
    </row>
    <row r="23" spans="1:16" x14ac:dyDescent="0.25">
      <c r="A23">
        <v>10000000</v>
      </c>
      <c r="B23">
        <v>8</v>
      </c>
      <c r="C23">
        <v>2</v>
      </c>
      <c r="D23">
        <v>0.69399999999999995</v>
      </c>
      <c r="G23">
        <v>100000000</v>
      </c>
      <c r="H23">
        <v>6</v>
      </c>
      <c r="I23">
        <f t="shared" si="0"/>
        <v>24.631799999999998</v>
      </c>
      <c r="J23">
        <f>I20/I23</f>
        <v>4.9027679666122665</v>
      </c>
      <c r="K23" t="s">
        <v>13</v>
      </c>
    </row>
    <row r="24" spans="1:16" x14ac:dyDescent="0.25">
      <c r="A24">
        <v>10000000</v>
      </c>
      <c r="B24">
        <v>8</v>
      </c>
      <c r="C24">
        <v>3</v>
      </c>
      <c r="D24">
        <v>0.755</v>
      </c>
      <c r="G24">
        <v>100000000</v>
      </c>
      <c r="H24">
        <v>8</v>
      </c>
      <c r="I24">
        <f t="shared" si="0"/>
        <v>19.633800000000001</v>
      </c>
      <c r="J24">
        <f>I20/I24</f>
        <v>6.1508215424421158</v>
      </c>
      <c r="K24" t="s">
        <v>13</v>
      </c>
    </row>
    <row r="25" spans="1:16" x14ac:dyDescent="0.25">
      <c r="A25">
        <v>10000000</v>
      </c>
      <c r="B25">
        <v>8</v>
      </c>
      <c r="C25">
        <v>4</v>
      </c>
      <c r="D25">
        <v>0.76400000000000001</v>
      </c>
      <c r="G25">
        <v>100000000</v>
      </c>
      <c r="H25">
        <v>16</v>
      </c>
      <c r="I25">
        <f t="shared" si="0"/>
        <v>18.462399999999995</v>
      </c>
      <c r="J25">
        <f>I20/I25</f>
        <v>6.5410780830227946</v>
      </c>
      <c r="K25" t="s">
        <v>13</v>
      </c>
    </row>
    <row r="26" spans="1:16" x14ac:dyDescent="0.25">
      <c r="A26">
        <v>10000000</v>
      </c>
      <c r="B26">
        <v>8</v>
      </c>
      <c r="C26">
        <v>5</v>
      </c>
      <c r="D26">
        <v>0.73899999999999999</v>
      </c>
      <c r="G26" cm="1">
        <f t="array" ref="G26:G29">_xlfn.UNIQUE(N2:N21)</f>
        <v>10000000</v>
      </c>
      <c r="I26">
        <f>AVERAGE(P2:P6)</f>
        <v>8.9615999999999989</v>
      </c>
      <c r="K26" t="s">
        <v>14</v>
      </c>
    </row>
    <row r="27" spans="1:16" x14ac:dyDescent="0.25">
      <c r="A27">
        <v>10000000</v>
      </c>
      <c r="B27">
        <v>16</v>
      </c>
      <c r="C27">
        <v>1</v>
      </c>
      <c r="D27">
        <v>0.70199999999999996</v>
      </c>
      <c r="G27">
        <v>20000000</v>
      </c>
      <c r="I27">
        <f>AVERAGE(P7:P11)</f>
        <v>25.155999999999999</v>
      </c>
      <c r="K27" t="s">
        <v>14</v>
      </c>
    </row>
    <row r="28" spans="1:16" x14ac:dyDescent="0.25">
      <c r="A28">
        <v>10000000</v>
      </c>
      <c r="B28">
        <v>16</v>
      </c>
      <c r="C28">
        <v>2</v>
      </c>
      <c r="D28">
        <v>0.66900000000000004</v>
      </c>
      <c r="G28">
        <v>50000000</v>
      </c>
      <c r="I28">
        <f>AVERAGE(P12:P16)</f>
        <v>88.580000000000013</v>
      </c>
      <c r="K28" t="s">
        <v>14</v>
      </c>
    </row>
    <row r="29" spans="1:16" x14ac:dyDescent="0.25">
      <c r="A29">
        <v>10000000</v>
      </c>
      <c r="B29">
        <v>16</v>
      </c>
      <c r="C29">
        <v>3</v>
      </c>
      <c r="D29">
        <v>0.67100000000000004</v>
      </c>
      <c r="G29">
        <v>100000000</v>
      </c>
      <c r="I29">
        <f>AVERAGE(P17:P21)</f>
        <v>231.78280000000001</v>
      </c>
      <c r="K29" t="s">
        <v>14</v>
      </c>
    </row>
    <row r="30" spans="1:16" x14ac:dyDescent="0.25">
      <c r="A30">
        <v>10000000</v>
      </c>
      <c r="B30">
        <v>16</v>
      </c>
      <c r="C30">
        <v>4</v>
      </c>
      <c r="D30">
        <v>0.65900000000000003</v>
      </c>
    </row>
    <row r="31" spans="1:16" x14ac:dyDescent="0.25">
      <c r="A31">
        <v>10000000</v>
      </c>
      <c r="B31">
        <v>16</v>
      </c>
      <c r="C31">
        <v>5</v>
      </c>
      <c r="D31">
        <v>0.65900000000000003</v>
      </c>
    </row>
    <row r="32" spans="1:16" x14ac:dyDescent="0.25">
      <c r="A32">
        <v>20000000</v>
      </c>
      <c r="B32">
        <v>1</v>
      </c>
      <c r="C32">
        <v>1</v>
      </c>
      <c r="D32">
        <v>11.481999999999999</v>
      </c>
    </row>
    <row r="33" spans="1:4" x14ac:dyDescent="0.25">
      <c r="A33">
        <v>20000000</v>
      </c>
      <c r="B33">
        <v>1</v>
      </c>
      <c r="C33">
        <v>2</v>
      </c>
      <c r="D33">
        <v>11.715999999999999</v>
      </c>
    </row>
    <row r="34" spans="1:4" x14ac:dyDescent="0.25">
      <c r="A34">
        <v>20000000</v>
      </c>
      <c r="B34">
        <v>1</v>
      </c>
      <c r="C34">
        <v>3</v>
      </c>
      <c r="D34">
        <v>11.462</v>
      </c>
    </row>
    <row r="35" spans="1:4" x14ac:dyDescent="0.25">
      <c r="A35">
        <v>20000000</v>
      </c>
      <c r="B35">
        <v>1</v>
      </c>
      <c r="C35">
        <v>4</v>
      </c>
      <c r="D35">
        <v>11.445</v>
      </c>
    </row>
    <row r="36" spans="1:4" x14ac:dyDescent="0.25">
      <c r="A36">
        <v>20000000</v>
      </c>
      <c r="B36">
        <v>1</v>
      </c>
      <c r="C36">
        <v>5</v>
      </c>
      <c r="D36">
        <v>11.353999999999999</v>
      </c>
    </row>
    <row r="37" spans="1:4" x14ac:dyDescent="0.25">
      <c r="A37">
        <v>20000000</v>
      </c>
      <c r="B37">
        <v>2</v>
      </c>
      <c r="C37">
        <v>1</v>
      </c>
      <c r="D37">
        <v>6.4169999999999998</v>
      </c>
    </row>
    <row r="38" spans="1:4" x14ac:dyDescent="0.25">
      <c r="A38">
        <v>20000000</v>
      </c>
      <c r="B38">
        <v>2</v>
      </c>
      <c r="C38">
        <v>2</v>
      </c>
      <c r="D38">
        <v>5.9560000000000004</v>
      </c>
    </row>
    <row r="39" spans="1:4" x14ac:dyDescent="0.25">
      <c r="A39">
        <v>20000000</v>
      </c>
      <c r="B39">
        <v>2</v>
      </c>
      <c r="C39">
        <v>3</v>
      </c>
      <c r="D39">
        <v>6.6849999999999996</v>
      </c>
    </row>
    <row r="40" spans="1:4" x14ac:dyDescent="0.25">
      <c r="A40">
        <v>20000000</v>
      </c>
      <c r="B40">
        <v>2</v>
      </c>
      <c r="C40">
        <v>4</v>
      </c>
      <c r="D40">
        <v>6.0110000000000001</v>
      </c>
    </row>
    <row r="41" spans="1:4" x14ac:dyDescent="0.25">
      <c r="A41">
        <v>20000000</v>
      </c>
      <c r="B41">
        <v>2</v>
      </c>
      <c r="C41">
        <v>5</v>
      </c>
      <c r="D41">
        <v>5.9390000000000001</v>
      </c>
    </row>
    <row r="42" spans="1:4" x14ac:dyDescent="0.25">
      <c r="A42">
        <v>20000000</v>
      </c>
      <c r="B42">
        <v>4</v>
      </c>
      <c r="C42">
        <v>1</v>
      </c>
      <c r="D42">
        <v>3.0190000000000001</v>
      </c>
    </row>
    <row r="43" spans="1:4" x14ac:dyDescent="0.25">
      <c r="A43">
        <v>20000000</v>
      </c>
      <c r="B43">
        <v>4</v>
      </c>
      <c r="C43">
        <v>2</v>
      </c>
      <c r="D43">
        <v>2.9889999999999999</v>
      </c>
    </row>
    <row r="44" spans="1:4" x14ac:dyDescent="0.25">
      <c r="A44">
        <v>20000000</v>
      </c>
      <c r="B44">
        <v>4</v>
      </c>
      <c r="C44">
        <v>3</v>
      </c>
      <c r="D44">
        <v>2.9729999999999999</v>
      </c>
    </row>
    <row r="45" spans="1:4" x14ac:dyDescent="0.25">
      <c r="A45">
        <v>20000000</v>
      </c>
      <c r="B45">
        <v>4</v>
      </c>
      <c r="C45">
        <v>4</v>
      </c>
      <c r="D45">
        <v>2.9780000000000002</v>
      </c>
    </row>
    <row r="46" spans="1:4" x14ac:dyDescent="0.25">
      <c r="A46">
        <v>20000000</v>
      </c>
      <c r="B46">
        <v>4</v>
      </c>
      <c r="C46">
        <v>5</v>
      </c>
      <c r="D46">
        <v>3.0129999999999999</v>
      </c>
    </row>
    <row r="47" spans="1:4" x14ac:dyDescent="0.25">
      <c r="A47">
        <v>20000000</v>
      </c>
      <c r="B47">
        <v>6</v>
      </c>
      <c r="C47">
        <v>1</v>
      </c>
      <c r="D47">
        <v>2.2509999999999999</v>
      </c>
    </row>
    <row r="48" spans="1:4" x14ac:dyDescent="0.25">
      <c r="A48">
        <v>20000000</v>
      </c>
      <c r="B48">
        <v>6</v>
      </c>
      <c r="C48">
        <v>2</v>
      </c>
      <c r="D48">
        <v>2.1280000000000001</v>
      </c>
    </row>
    <row r="49" spans="1:4" x14ac:dyDescent="0.25">
      <c r="A49">
        <v>20000000</v>
      </c>
      <c r="B49">
        <v>6</v>
      </c>
      <c r="C49">
        <v>3</v>
      </c>
      <c r="D49">
        <v>2.0910000000000002</v>
      </c>
    </row>
    <row r="50" spans="1:4" x14ac:dyDescent="0.25">
      <c r="A50">
        <v>20000000</v>
      </c>
      <c r="B50">
        <v>6</v>
      </c>
      <c r="C50">
        <v>4</v>
      </c>
      <c r="D50">
        <v>2.145</v>
      </c>
    </row>
    <row r="51" spans="1:4" x14ac:dyDescent="0.25">
      <c r="A51">
        <v>20000000</v>
      </c>
      <c r="B51">
        <v>6</v>
      </c>
      <c r="C51">
        <v>5</v>
      </c>
      <c r="D51">
        <v>2.323</v>
      </c>
    </row>
    <row r="52" spans="1:4" x14ac:dyDescent="0.25">
      <c r="A52">
        <v>20000000</v>
      </c>
      <c r="B52">
        <v>8</v>
      </c>
      <c r="C52">
        <v>1</v>
      </c>
      <c r="D52">
        <v>1.913</v>
      </c>
    </row>
    <row r="53" spans="1:4" x14ac:dyDescent="0.25">
      <c r="A53">
        <v>20000000</v>
      </c>
      <c r="B53">
        <v>8</v>
      </c>
      <c r="C53">
        <v>2</v>
      </c>
      <c r="D53">
        <v>1.8839999999999999</v>
      </c>
    </row>
    <row r="54" spans="1:4" x14ac:dyDescent="0.25">
      <c r="A54">
        <v>20000000</v>
      </c>
      <c r="B54">
        <v>8</v>
      </c>
      <c r="C54">
        <v>3</v>
      </c>
      <c r="D54">
        <v>1.901</v>
      </c>
    </row>
    <row r="55" spans="1:4" x14ac:dyDescent="0.25">
      <c r="A55">
        <v>20000000</v>
      </c>
      <c r="B55">
        <v>8</v>
      </c>
      <c r="C55">
        <v>4</v>
      </c>
      <c r="D55">
        <v>1.786</v>
      </c>
    </row>
    <row r="56" spans="1:4" x14ac:dyDescent="0.25">
      <c r="A56">
        <v>20000000</v>
      </c>
      <c r="B56">
        <v>8</v>
      </c>
      <c r="C56">
        <v>5</v>
      </c>
      <c r="D56">
        <v>1.839</v>
      </c>
    </row>
    <row r="57" spans="1:4" x14ac:dyDescent="0.25">
      <c r="A57">
        <v>20000000</v>
      </c>
      <c r="B57">
        <v>16</v>
      </c>
      <c r="C57">
        <v>1</v>
      </c>
      <c r="D57">
        <v>1.7789999999999999</v>
      </c>
    </row>
    <row r="58" spans="1:4" x14ac:dyDescent="0.25">
      <c r="A58">
        <v>20000000</v>
      </c>
      <c r="B58">
        <v>16</v>
      </c>
      <c r="C58">
        <v>2</v>
      </c>
      <c r="D58">
        <v>1.7529999999999999</v>
      </c>
    </row>
    <row r="59" spans="1:4" x14ac:dyDescent="0.25">
      <c r="A59">
        <v>20000000</v>
      </c>
      <c r="B59">
        <v>16</v>
      </c>
      <c r="C59">
        <v>3</v>
      </c>
      <c r="D59">
        <v>1.754</v>
      </c>
    </row>
    <row r="60" spans="1:4" x14ac:dyDescent="0.25">
      <c r="A60">
        <v>20000000</v>
      </c>
      <c r="B60">
        <v>16</v>
      </c>
      <c r="C60">
        <v>4</v>
      </c>
      <c r="D60">
        <v>1.7869999999999999</v>
      </c>
    </row>
    <row r="61" spans="1:4" x14ac:dyDescent="0.25">
      <c r="A61">
        <v>20000000</v>
      </c>
      <c r="B61">
        <v>16</v>
      </c>
      <c r="C61">
        <v>5</v>
      </c>
      <c r="D61">
        <v>1.7470000000000001</v>
      </c>
    </row>
    <row r="62" spans="1:4" x14ac:dyDescent="0.25">
      <c r="A62">
        <v>50000000</v>
      </c>
      <c r="B62">
        <v>1</v>
      </c>
      <c r="C62">
        <v>1</v>
      </c>
      <c r="D62">
        <v>44.649000000000001</v>
      </c>
    </row>
    <row r="63" spans="1:4" x14ac:dyDescent="0.25">
      <c r="A63">
        <v>50000000</v>
      </c>
      <c r="B63">
        <v>1</v>
      </c>
      <c r="C63">
        <v>2</v>
      </c>
      <c r="D63">
        <v>44.243000000000002</v>
      </c>
    </row>
    <row r="64" spans="1:4" x14ac:dyDescent="0.25">
      <c r="A64">
        <v>50000000</v>
      </c>
      <c r="B64">
        <v>1</v>
      </c>
      <c r="C64">
        <v>3</v>
      </c>
      <c r="D64">
        <v>44.31</v>
      </c>
    </row>
    <row r="65" spans="1:4" x14ac:dyDescent="0.25">
      <c r="A65">
        <v>50000000</v>
      </c>
      <c r="B65">
        <v>1</v>
      </c>
      <c r="C65">
        <v>4</v>
      </c>
      <c r="D65">
        <v>44.177</v>
      </c>
    </row>
    <row r="66" spans="1:4" x14ac:dyDescent="0.25">
      <c r="A66">
        <v>50000000</v>
      </c>
      <c r="B66">
        <v>1</v>
      </c>
      <c r="C66">
        <v>5</v>
      </c>
      <c r="D66">
        <v>44.228000000000002</v>
      </c>
    </row>
    <row r="67" spans="1:4" x14ac:dyDescent="0.25">
      <c r="A67">
        <v>50000000</v>
      </c>
      <c r="B67">
        <v>2</v>
      </c>
      <c r="C67">
        <v>1</v>
      </c>
      <c r="D67">
        <v>25.933</v>
      </c>
    </row>
    <row r="68" spans="1:4" x14ac:dyDescent="0.25">
      <c r="A68">
        <v>50000000</v>
      </c>
      <c r="B68">
        <v>2</v>
      </c>
      <c r="C68">
        <v>2</v>
      </c>
      <c r="D68">
        <v>24.474</v>
      </c>
    </row>
    <row r="69" spans="1:4" x14ac:dyDescent="0.25">
      <c r="A69">
        <v>50000000</v>
      </c>
      <c r="B69">
        <v>2</v>
      </c>
      <c r="C69">
        <v>3</v>
      </c>
      <c r="D69">
        <v>24.079000000000001</v>
      </c>
    </row>
    <row r="70" spans="1:4" x14ac:dyDescent="0.25">
      <c r="A70">
        <v>50000000</v>
      </c>
      <c r="B70">
        <v>2</v>
      </c>
      <c r="C70">
        <v>4</v>
      </c>
      <c r="D70">
        <v>23.291</v>
      </c>
    </row>
    <row r="71" spans="1:4" x14ac:dyDescent="0.25">
      <c r="A71">
        <v>50000000</v>
      </c>
      <c r="B71">
        <v>2</v>
      </c>
      <c r="C71">
        <v>5</v>
      </c>
      <c r="D71">
        <v>25.46</v>
      </c>
    </row>
    <row r="72" spans="1:4" x14ac:dyDescent="0.25">
      <c r="A72">
        <v>50000000</v>
      </c>
      <c r="B72">
        <v>4</v>
      </c>
      <c r="C72">
        <v>1</v>
      </c>
      <c r="D72">
        <v>11.718999999999999</v>
      </c>
    </row>
    <row r="73" spans="1:4" x14ac:dyDescent="0.25">
      <c r="A73">
        <v>50000000</v>
      </c>
      <c r="B73">
        <v>4</v>
      </c>
      <c r="C73">
        <v>2</v>
      </c>
      <c r="D73">
        <v>12.256</v>
      </c>
    </row>
    <row r="74" spans="1:4" x14ac:dyDescent="0.25">
      <c r="A74">
        <v>50000000</v>
      </c>
      <c r="B74">
        <v>4</v>
      </c>
      <c r="C74">
        <v>3</v>
      </c>
      <c r="D74">
        <v>11.614000000000001</v>
      </c>
    </row>
    <row r="75" spans="1:4" x14ac:dyDescent="0.25">
      <c r="A75">
        <v>50000000</v>
      </c>
      <c r="B75">
        <v>4</v>
      </c>
      <c r="C75">
        <v>4</v>
      </c>
      <c r="D75">
        <v>12.084</v>
      </c>
    </row>
    <row r="76" spans="1:4" x14ac:dyDescent="0.25">
      <c r="A76">
        <v>50000000</v>
      </c>
      <c r="B76">
        <v>4</v>
      </c>
      <c r="C76">
        <v>5</v>
      </c>
      <c r="D76">
        <v>12.329000000000001</v>
      </c>
    </row>
    <row r="77" spans="1:4" x14ac:dyDescent="0.25">
      <c r="A77">
        <v>50000000</v>
      </c>
      <c r="B77">
        <v>6</v>
      </c>
      <c r="C77">
        <v>1</v>
      </c>
      <c r="D77">
        <v>8.25</v>
      </c>
    </row>
    <row r="78" spans="1:4" x14ac:dyDescent="0.25">
      <c r="A78">
        <v>50000000</v>
      </c>
      <c r="B78">
        <v>6</v>
      </c>
      <c r="C78">
        <v>2</v>
      </c>
      <c r="D78">
        <v>9.4390000000000001</v>
      </c>
    </row>
    <row r="79" spans="1:4" x14ac:dyDescent="0.25">
      <c r="A79">
        <v>50000000</v>
      </c>
      <c r="B79">
        <v>6</v>
      </c>
      <c r="C79">
        <v>3</v>
      </c>
      <c r="D79">
        <v>8.5449999999999999</v>
      </c>
    </row>
    <row r="80" spans="1:4" x14ac:dyDescent="0.25">
      <c r="A80">
        <v>50000000</v>
      </c>
      <c r="B80">
        <v>6</v>
      </c>
      <c r="C80">
        <v>4</v>
      </c>
      <c r="D80">
        <v>8.7680000000000007</v>
      </c>
    </row>
    <row r="81" spans="1:4" x14ac:dyDescent="0.25">
      <c r="A81">
        <v>50000000</v>
      </c>
      <c r="B81">
        <v>6</v>
      </c>
      <c r="C81">
        <v>5</v>
      </c>
      <c r="D81">
        <v>8.4120000000000008</v>
      </c>
    </row>
    <row r="82" spans="1:4" x14ac:dyDescent="0.25">
      <c r="A82">
        <v>50000000</v>
      </c>
      <c r="B82">
        <v>8</v>
      </c>
      <c r="C82">
        <v>1</v>
      </c>
      <c r="D82">
        <v>6.9409999999999998</v>
      </c>
    </row>
    <row r="83" spans="1:4" x14ac:dyDescent="0.25">
      <c r="A83">
        <v>50000000</v>
      </c>
      <c r="B83">
        <v>8</v>
      </c>
      <c r="C83">
        <v>2</v>
      </c>
      <c r="D83">
        <v>7.6909999999999998</v>
      </c>
    </row>
    <row r="84" spans="1:4" x14ac:dyDescent="0.25">
      <c r="A84">
        <v>50000000</v>
      </c>
      <c r="B84">
        <v>8</v>
      </c>
      <c r="C84">
        <v>3</v>
      </c>
      <c r="D84">
        <v>7.1909999999999998</v>
      </c>
    </row>
    <row r="85" spans="1:4" x14ac:dyDescent="0.25">
      <c r="A85">
        <v>50000000</v>
      </c>
      <c r="B85">
        <v>8</v>
      </c>
      <c r="C85">
        <v>4</v>
      </c>
      <c r="D85">
        <v>7.7160000000000002</v>
      </c>
    </row>
    <row r="86" spans="1:4" x14ac:dyDescent="0.25">
      <c r="A86">
        <v>50000000</v>
      </c>
      <c r="B86">
        <v>8</v>
      </c>
      <c r="C86">
        <v>5</v>
      </c>
      <c r="D86">
        <v>7.1849999999999996</v>
      </c>
    </row>
    <row r="87" spans="1:4" x14ac:dyDescent="0.25">
      <c r="A87">
        <v>50000000</v>
      </c>
      <c r="B87">
        <v>16</v>
      </c>
      <c r="C87">
        <v>1</v>
      </c>
      <c r="D87">
        <v>7.02</v>
      </c>
    </row>
    <row r="88" spans="1:4" x14ac:dyDescent="0.25">
      <c r="A88">
        <v>50000000</v>
      </c>
      <c r="B88">
        <v>16</v>
      </c>
      <c r="C88">
        <v>2</v>
      </c>
      <c r="D88">
        <v>6.5869999999999997</v>
      </c>
    </row>
    <row r="89" spans="1:4" x14ac:dyDescent="0.25">
      <c r="A89">
        <v>50000000</v>
      </c>
      <c r="B89">
        <v>16</v>
      </c>
      <c r="C89">
        <v>3</v>
      </c>
      <c r="D89">
        <v>6.6820000000000004</v>
      </c>
    </row>
    <row r="90" spans="1:4" x14ac:dyDescent="0.25">
      <c r="A90">
        <v>50000000</v>
      </c>
      <c r="B90">
        <v>16</v>
      </c>
      <c r="C90">
        <v>4</v>
      </c>
      <c r="D90">
        <v>6.5369999999999999</v>
      </c>
    </row>
    <row r="91" spans="1:4" x14ac:dyDescent="0.25">
      <c r="A91">
        <v>50000000</v>
      </c>
      <c r="B91">
        <v>16</v>
      </c>
      <c r="C91">
        <v>5</v>
      </c>
      <c r="D91">
        <v>6.5449999999999999</v>
      </c>
    </row>
    <row r="92" spans="1:4" x14ac:dyDescent="0.25">
      <c r="A92">
        <v>100000000</v>
      </c>
      <c r="B92">
        <v>1</v>
      </c>
      <c r="C92">
        <v>1</v>
      </c>
      <c r="D92">
        <v>121.37</v>
      </c>
    </row>
    <row r="93" spans="1:4" x14ac:dyDescent="0.25">
      <c r="A93">
        <v>100000000</v>
      </c>
      <c r="B93">
        <v>1</v>
      </c>
      <c r="C93">
        <v>2</v>
      </c>
      <c r="D93">
        <v>120.05</v>
      </c>
    </row>
    <row r="94" spans="1:4" x14ac:dyDescent="0.25">
      <c r="A94">
        <v>100000000</v>
      </c>
      <c r="B94">
        <v>1</v>
      </c>
      <c r="C94">
        <v>3</v>
      </c>
      <c r="D94">
        <v>120.5</v>
      </c>
    </row>
    <row r="95" spans="1:4" x14ac:dyDescent="0.25">
      <c r="A95">
        <v>100000000</v>
      </c>
      <c r="B95">
        <v>1</v>
      </c>
      <c r="C95">
        <v>4</v>
      </c>
      <c r="D95">
        <v>119.8</v>
      </c>
    </row>
    <row r="96" spans="1:4" x14ac:dyDescent="0.25">
      <c r="A96">
        <v>100000000</v>
      </c>
      <c r="B96">
        <v>1</v>
      </c>
      <c r="C96">
        <v>5</v>
      </c>
      <c r="D96">
        <v>122.1</v>
      </c>
    </row>
    <row r="97" spans="1:4" x14ac:dyDescent="0.25">
      <c r="A97">
        <v>100000000</v>
      </c>
      <c r="B97">
        <v>2</v>
      </c>
      <c r="C97">
        <v>1</v>
      </c>
      <c r="D97">
        <v>73.39</v>
      </c>
    </row>
    <row r="98" spans="1:4" x14ac:dyDescent="0.25">
      <c r="A98">
        <v>100000000</v>
      </c>
      <c r="B98">
        <v>2</v>
      </c>
      <c r="C98">
        <v>2</v>
      </c>
      <c r="D98">
        <v>89.85</v>
      </c>
    </row>
    <row r="99" spans="1:4" x14ac:dyDescent="0.25">
      <c r="A99">
        <v>100000000</v>
      </c>
      <c r="B99">
        <v>2</v>
      </c>
      <c r="C99">
        <v>3</v>
      </c>
      <c r="D99">
        <v>73.930000000000007</v>
      </c>
    </row>
    <row r="100" spans="1:4" x14ac:dyDescent="0.25">
      <c r="A100">
        <v>100000000</v>
      </c>
      <c r="B100">
        <v>2</v>
      </c>
      <c r="C100">
        <v>4</v>
      </c>
      <c r="D100">
        <v>75.84</v>
      </c>
    </row>
    <row r="101" spans="1:4" x14ac:dyDescent="0.25">
      <c r="A101">
        <v>100000000</v>
      </c>
      <c r="B101">
        <v>2</v>
      </c>
      <c r="C101">
        <v>5</v>
      </c>
      <c r="D101">
        <v>73.05</v>
      </c>
    </row>
    <row r="102" spans="1:4" x14ac:dyDescent="0.25">
      <c r="A102">
        <v>100000000</v>
      </c>
      <c r="B102">
        <v>4</v>
      </c>
      <c r="C102">
        <v>1</v>
      </c>
      <c r="D102">
        <v>43.37</v>
      </c>
    </row>
    <row r="103" spans="1:4" x14ac:dyDescent="0.25">
      <c r="A103">
        <v>100000000</v>
      </c>
      <c r="B103">
        <v>4</v>
      </c>
      <c r="C103">
        <v>2</v>
      </c>
      <c r="D103">
        <v>51.42</v>
      </c>
    </row>
    <row r="104" spans="1:4" x14ac:dyDescent="0.25">
      <c r="A104">
        <v>100000000</v>
      </c>
      <c r="B104">
        <v>4</v>
      </c>
      <c r="C104">
        <v>3</v>
      </c>
      <c r="D104">
        <v>39.25</v>
      </c>
    </row>
    <row r="105" spans="1:4" x14ac:dyDescent="0.25">
      <c r="A105">
        <v>100000000</v>
      </c>
      <c r="B105">
        <v>4</v>
      </c>
      <c r="C105">
        <v>4</v>
      </c>
      <c r="D105">
        <v>40.299999999999997</v>
      </c>
    </row>
    <row r="106" spans="1:4" x14ac:dyDescent="0.25">
      <c r="A106">
        <v>100000000</v>
      </c>
      <c r="B106">
        <v>4</v>
      </c>
      <c r="C106">
        <v>5</v>
      </c>
      <c r="D106">
        <v>38.770000000000003</v>
      </c>
    </row>
    <row r="107" spans="1:4" x14ac:dyDescent="0.25">
      <c r="A107">
        <v>100000000</v>
      </c>
      <c r="B107">
        <v>6</v>
      </c>
      <c r="C107">
        <v>1</v>
      </c>
      <c r="D107">
        <v>3.339</v>
      </c>
    </row>
    <row r="108" spans="1:4" x14ac:dyDescent="0.25">
      <c r="A108">
        <v>100000000</v>
      </c>
      <c r="B108">
        <v>6</v>
      </c>
      <c r="C108">
        <v>2</v>
      </c>
      <c r="D108">
        <v>35.86</v>
      </c>
    </row>
    <row r="109" spans="1:4" x14ac:dyDescent="0.25">
      <c r="A109">
        <v>100000000</v>
      </c>
      <c r="B109">
        <v>6</v>
      </c>
      <c r="C109">
        <v>3</v>
      </c>
      <c r="D109">
        <v>27.83</v>
      </c>
    </row>
    <row r="110" spans="1:4" x14ac:dyDescent="0.25">
      <c r="A110">
        <v>100000000</v>
      </c>
      <c r="B110">
        <v>6</v>
      </c>
      <c r="C110">
        <v>4</v>
      </c>
      <c r="D110">
        <v>28.59</v>
      </c>
    </row>
    <row r="111" spans="1:4" x14ac:dyDescent="0.25">
      <c r="A111">
        <v>100000000</v>
      </c>
      <c r="B111">
        <v>6</v>
      </c>
      <c r="C111">
        <v>5</v>
      </c>
      <c r="D111">
        <v>27.54</v>
      </c>
    </row>
    <row r="112" spans="1:4" x14ac:dyDescent="0.25">
      <c r="A112">
        <v>100000000</v>
      </c>
      <c r="B112">
        <v>8</v>
      </c>
      <c r="C112">
        <v>1</v>
      </c>
      <c r="D112">
        <v>4.0289999999999999</v>
      </c>
    </row>
    <row r="113" spans="1:4" x14ac:dyDescent="0.25">
      <c r="A113">
        <v>100000000</v>
      </c>
      <c r="B113">
        <v>8</v>
      </c>
      <c r="C113">
        <v>2</v>
      </c>
      <c r="D113">
        <v>29.72</v>
      </c>
    </row>
    <row r="114" spans="1:4" x14ac:dyDescent="0.25">
      <c r="A114">
        <v>100000000</v>
      </c>
      <c r="B114">
        <v>8</v>
      </c>
      <c r="C114">
        <v>3</v>
      </c>
      <c r="D114">
        <v>21.33</v>
      </c>
    </row>
    <row r="115" spans="1:4" x14ac:dyDescent="0.25">
      <c r="A115">
        <v>100000000</v>
      </c>
      <c r="B115">
        <v>8</v>
      </c>
      <c r="C115">
        <v>4</v>
      </c>
      <c r="D115">
        <v>22</v>
      </c>
    </row>
    <row r="116" spans="1:4" x14ac:dyDescent="0.25">
      <c r="A116">
        <v>100000000</v>
      </c>
      <c r="B116">
        <v>8</v>
      </c>
      <c r="C116">
        <v>5</v>
      </c>
      <c r="D116">
        <v>21.09</v>
      </c>
    </row>
    <row r="117" spans="1:4" x14ac:dyDescent="0.25">
      <c r="A117">
        <v>100000000</v>
      </c>
      <c r="B117">
        <v>16</v>
      </c>
      <c r="C117">
        <v>1</v>
      </c>
      <c r="D117">
        <v>18.242000000000001</v>
      </c>
    </row>
    <row r="118" spans="1:4" x14ac:dyDescent="0.25">
      <c r="A118">
        <v>100000000</v>
      </c>
      <c r="B118">
        <v>16</v>
      </c>
      <c r="C118">
        <v>2</v>
      </c>
      <c r="D118">
        <v>18.21</v>
      </c>
    </row>
    <row r="119" spans="1:4" x14ac:dyDescent="0.25">
      <c r="A119">
        <v>100000000</v>
      </c>
      <c r="B119">
        <v>16</v>
      </c>
      <c r="C119">
        <v>3</v>
      </c>
      <c r="D119">
        <v>18.239999999999998</v>
      </c>
    </row>
    <row r="120" spans="1:4" x14ac:dyDescent="0.25">
      <c r="A120">
        <v>100000000</v>
      </c>
      <c r="B120">
        <v>16</v>
      </c>
      <c r="C120">
        <v>4</v>
      </c>
      <c r="D120">
        <v>18.52</v>
      </c>
    </row>
    <row r="121" spans="1:4" x14ac:dyDescent="0.25">
      <c r="A121">
        <v>100000000</v>
      </c>
      <c r="B121">
        <v>16</v>
      </c>
      <c r="C121">
        <v>5</v>
      </c>
      <c r="D121">
        <v>19.100000000000001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Threads vs Speedup Factor</vt:lpstr>
      <vt:lpstr>n vs Average Time</vt:lpstr>
      <vt:lpstr>OpenMP vs Serial</vt:lpstr>
      <vt:lpstr>Sheet5</vt:lpstr>
      <vt:lpstr>t2 vs t3</vt:lpstr>
      <vt:lpstr>timing_log_task3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Terrence Tong</dc:creator>
  <cp:lastModifiedBy>Terrence Tong</cp:lastModifiedBy>
  <dcterms:created xsi:type="dcterms:W3CDTF">2026-08-15T11:45:54Z</dcterms:created>
  <dcterms:modified xsi:type="dcterms:W3CDTF">2026-08-17T10:47:08Z</dcterms:modified>
</cp:coreProperties>
</file>